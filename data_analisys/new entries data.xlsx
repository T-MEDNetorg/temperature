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C7D5D5A9-5B08-4364-A9EF-5B99E92CAAE1}" xr6:coauthVersionLast="47" xr6:coauthVersionMax="47" xr10:uidLastSave="{00000000-0000-0000-0000-000000000000}"/>
  <bookViews>
    <workbookView xWindow="3120" yWindow="3120" windowWidth="21600" windowHeight="12675" xr2:uid="{E60D4BD0-85FC-4FFD-BD20-B6D840E17A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H7" i="1"/>
  <c r="D7" i="1"/>
  <c r="D6" i="1"/>
</calcChain>
</file>

<file path=xl/sharedStrings.xml><?xml version="1.0" encoding="utf-8"?>
<sst xmlns="http://schemas.openxmlformats.org/spreadsheetml/2006/main" count="27" uniqueCount="18">
  <si>
    <t>Entries</t>
  </si>
  <si>
    <t>Year</t>
  </si>
  <si>
    <t>Total</t>
  </si>
  <si>
    <t>MPA</t>
  </si>
  <si>
    <t>Sites</t>
  </si>
  <si>
    <t>new MPA</t>
  </si>
  <si>
    <t xml:space="preserve">Kavo Gkreko    </t>
  </si>
  <si>
    <t xml:space="preserve">Kotorsko Risanski Zaliv </t>
  </si>
  <si>
    <t>total_entries</t>
  </si>
  <si>
    <t>Count</t>
  </si>
  <si>
    <t>start_year</t>
  </si>
  <si>
    <t>total_sites</t>
  </si>
  <si>
    <t>first_year</t>
  </si>
  <si>
    <t>new_names</t>
  </si>
  <si>
    <t>cumulative</t>
  </si>
  <si>
    <t>Incremento %</t>
  </si>
  <si>
    <t>New MPA with sites</t>
  </si>
  <si>
    <t>Afegit els 10 de Italia no declarats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</si>
</sst>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59BB-D965-4BEB-A4B4-8F1593BC3AB7}">
  <dimension ref="B3:N37"/>
  <sheetViews>
    <sheetView tabSelected="1" workbookViewId="0">
      <selection activeCell="N9" sqref="N9"/>
    </sheetView>
  </sheetViews>
  <sheetFormatPr baseColWidth="10" defaultRowHeight="15" x14ac:dyDescent="0.25"/>
  <cols>
    <col min="7" max="7" width="15.28515625" bestFit="1" customWidth="1"/>
  </cols>
  <sheetData>
    <row r="3" spans="2:14" x14ac:dyDescent="0.25">
      <c r="B3" t="s">
        <v>0</v>
      </c>
      <c r="F3" t="s">
        <v>4</v>
      </c>
      <c r="J3" t="s">
        <v>3</v>
      </c>
    </row>
    <row r="4" spans="2:14" x14ac:dyDescent="0.25">
      <c r="B4" t="s">
        <v>1</v>
      </c>
      <c r="C4" t="s">
        <v>0</v>
      </c>
      <c r="D4" t="s">
        <v>2</v>
      </c>
      <c r="F4" t="s">
        <v>1</v>
      </c>
      <c r="G4" t="s">
        <v>4</v>
      </c>
      <c r="H4" t="s">
        <v>2</v>
      </c>
      <c r="J4" t="s">
        <v>1</v>
      </c>
      <c r="K4" t="s">
        <v>5</v>
      </c>
      <c r="L4" t="s">
        <v>2</v>
      </c>
      <c r="N4" t="s">
        <v>16</v>
      </c>
    </row>
    <row r="5" spans="2:14" x14ac:dyDescent="0.25">
      <c r="B5">
        <v>2024</v>
      </c>
      <c r="C5">
        <v>50785</v>
      </c>
      <c r="D5">
        <v>50785</v>
      </c>
      <c r="F5">
        <v>2024</v>
      </c>
      <c r="G5">
        <v>13</v>
      </c>
      <c r="H5">
        <v>13</v>
      </c>
      <c r="J5">
        <v>2024</v>
      </c>
      <c r="K5">
        <v>11</v>
      </c>
      <c r="L5">
        <v>11</v>
      </c>
      <c r="N5" t="s">
        <v>6</v>
      </c>
    </row>
    <row r="6" spans="2:14" x14ac:dyDescent="0.25">
      <c r="B6">
        <v>2025</v>
      </c>
      <c r="C6">
        <v>120110</v>
      </c>
      <c r="D6">
        <f>C5+C6</f>
        <v>170895</v>
      </c>
      <c r="F6">
        <v>2025</v>
      </c>
      <c r="G6">
        <v>3</v>
      </c>
      <c r="H6">
        <v>16</v>
      </c>
      <c r="J6">
        <v>2025</v>
      </c>
      <c r="K6">
        <v>1</v>
      </c>
      <c r="L6">
        <v>12</v>
      </c>
      <c r="N6" t="s">
        <v>7</v>
      </c>
    </row>
    <row r="7" spans="2:14" x14ac:dyDescent="0.25">
      <c r="B7" t="s">
        <v>15</v>
      </c>
      <c r="D7">
        <f>(D6/D37)*100</f>
        <v>0.66453940433440128</v>
      </c>
      <c r="F7" t="s">
        <v>15</v>
      </c>
      <c r="H7">
        <f>(H6/G31)*100</f>
        <v>16.326530612244898</v>
      </c>
      <c r="J7" t="s">
        <v>15</v>
      </c>
      <c r="L7">
        <f>(L6/L27)*100</f>
        <v>34.285714285714285</v>
      </c>
    </row>
    <row r="8" spans="2:14" x14ac:dyDescent="0.25">
      <c r="N8" t="s">
        <v>17</v>
      </c>
    </row>
    <row r="10" spans="2:14" x14ac:dyDescent="0.25">
      <c r="B10" s="1" t="s">
        <v>1</v>
      </c>
      <c r="C10" s="1" t="s">
        <v>9</v>
      </c>
      <c r="D10" s="1" t="s">
        <v>8</v>
      </c>
      <c r="F10" t="s">
        <v>10</v>
      </c>
      <c r="G10" t="s">
        <v>11</v>
      </c>
      <c r="J10" s="1" t="s">
        <v>12</v>
      </c>
      <c r="K10" s="1" t="s">
        <v>13</v>
      </c>
      <c r="L10" s="1" t="s">
        <v>14</v>
      </c>
    </row>
    <row r="11" spans="2:14" x14ac:dyDescent="0.25">
      <c r="B11">
        <v>1997</v>
      </c>
      <c r="C11">
        <v>2873</v>
      </c>
      <c r="D11">
        <v>2873</v>
      </c>
      <c r="F11">
        <v>1997</v>
      </c>
      <c r="G11">
        <v>1</v>
      </c>
      <c r="J11">
        <v>1997</v>
      </c>
      <c r="K11">
        <v>1</v>
      </c>
      <c r="L11">
        <v>1</v>
      </c>
    </row>
    <row r="12" spans="2:14" x14ac:dyDescent="0.25">
      <c r="B12">
        <v>1998</v>
      </c>
      <c r="C12">
        <v>4187</v>
      </c>
      <c r="D12">
        <v>7060</v>
      </c>
      <c r="F12">
        <v>1999</v>
      </c>
      <c r="G12">
        <v>4</v>
      </c>
      <c r="J12">
        <v>1999</v>
      </c>
      <c r="K12">
        <v>3</v>
      </c>
      <c r="L12">
        <v>4</v>
      </c>
    </row>
    <row r="13" spans="2:14" x14ac:dyDescent="0.25">
      <c r="B13">
        <v>1999</v>
      </c>
      <c r="C13">
        <v>20497</v>
      </c>
      <c r="D13">
        <v>27557</v>
      </c>
      <c r="F13">
        <v>2002</v>
      </c>
      <c r="G13">
        <v>5</v>
      </c>
      <c r="J13">
        <v>2002</v>
      </c>
      <c r="K13">
        <v>1</v>
      </c>
      <c r="L13">
        <v>5</v>
      </c>
    </row>
    <row r="14" spans="2:14" x14ac:dyDescent="0.25">
      <c r="B14">
        <v>2000</v>
      </c>
      <c r="C14">
        <v>58521</v>
      </c>
      <c r="D14">
        <v>86078</v>
      </c>
      <c r="F14">
        <v>2003</v>
      </c>
      <c r="G14">
        <v>6</v>
      </c>
      <c r="J14">
        <v>2003</v>
      </c>
      <c r="K14">
        <v>1</v>
      </c>
      <c r="L14">
        <v>6</v>
      </c>
    </row>
    <row r="15" spans="2:14" x14ac:dyDescent="0.25">
      <c r="B15">
        <v>2001</v>
      </c>
      <c r="C15">
        <v>51306</v>
      </c>
      <c r="D15">
        <v>137384</v>
      </c>
      <c r="F15">
        <v>2004</v>
      </c>
      <c r="G15">
        <v>8</v>
      </c>
      <c r="J15">
        <v>2004</v>
      </c>
      <c r="K15">
        <v>1</v>
      </c>
      <c r="L15">
        <v>7</v>
      </c>
    </row>
    <row r="16" spans="2:14" x14ac:dyDescent="0.25">
      <c r="B16">
        <v>2002</v>
      </c>
      <c r="C16">
        <v>83527</v>
      </c>
      <c r="D16">
        <v>220911</v>
      </c>
      <c r="F16">
        <v>2006</v>
      </c>
      <c r="G16">
        <v>9</v>
      </c>
      <c r="J16">
        <v>2006</v>
      </c>
      <c r="K16">
        <v>2</v>
      </c>
      <c r="L16">
        <v>9</v>
      </c>
    </row>
    <row r="17" spans="2:12" x14ac:dyDescent="0.25">
      <c r="B17">
        <v>2003</v>
      </c>
      <c r="C17">
        <v>138166</v>
      </c>
      <c r="D17">
        <v>359077</v>
      </c>
      <c r="F17">
        <v>2007</v>
      </c>
      <c r="G17">
        <v>13</v>
      </c>
      <c r="J17">
        <v>2007</v>
      </c>
      <c r="K17">
        <v>4</v>
      </c>
      <c r="L17">
        <v>13</v>
      </c>
    </row>
    <row r="18" spans="2:12" x14ac:dyDescent="0.25">
      <c r="B18">
        <v>2004</v>
      </c>
      <c r="C18">
        <v>240639</v>
      </c>
      <c r="D18">
        <v>599716</v>
      </c>
      <c r="F18">
        <v>2008</v>
      </c>
      <c r="G18">
        <v>17</v>
      </c>
      <c r="J18">
        <v>2009</v>
      </c>
      <c r="K18">
        <v>1</v>
      </c>
      <c r="L18">
        <v>14</v>
      </c>
    </row>
    <row r="19" spans="2:12" x14ac:dyDescent="0.25">
      <c r="B19">
        <v>2005</v>
      </c>
      <c r="C19">
        <v>322645</v>
      </c>
      <c r="D19">
        <v>922361</v>
      </c>
      <c r="F19">
        <v>2009</v>
      </c>
      <c r="G19">
        <v>20</v>
      </c>
      <c r="J19">
        <v>2010</v>
      </c>
      <c r="K19">
        <v>3</v>
      </c>
      <c r="L19">
        <v>17</v>
      </c>
    </row>
    <row r="20" spans="2:12" x14ac:dyDescent="0.25">
      <c r="B20">
        <v>2006</v>
      </c>
      <c r="C20">
        <v>358892</v>
      </c>
      <c r="D20">
        <v>1281253</v>
      </c>
      <c r="F20">
        <v>2010</v>
      </c>
      <c r="G20">
        <v>28</v>
      </c>
      <c r="J20">
        <v>2011</v>
      </c>
      <c r="K20">
        <v>1</v>
      </c>
      <c r="L20">
        <v>18</v>
      </c>
    </row>
    <row r="21" spans="2:12" x14ac:dyDescent="0.25">
      <c r="B21">
        <v>2007</v>
      </c>
      <c r="C21">
        <v>524776</v>
      </c>
      <c r="D21">
        <v>1806029</v>
      </c>
      <c r="F21">
        <v>2011</v>
      </c>
      <c r="G21">
        <v>31</v>
      </c>
      <c r="J21">
        <v>2012</v>
      </c>
      <c r="K21">
        <v>1</v>
      </c>
      <c r="L21">
        <v>19</v>
      </c>
    </row>
    <row r="22" spans="2:12" x14ac:dyDescent="0.25">
      <c r="B22">
        <v>2008</v>
      </c>
      <c r="C22">
        <v>627414</v>
      </c>
      <c r="D22">
        <v>2433443</v>
      </c>
      <c r="F22">
        <v>2012</v>
      </c>
      <c r="G22">
        <v>34</v>
      </c>
      <c r="J22">
        <v>2013</v>
      </c>
      <c r="K22">
        <v>3</v>
      </c>
      <c r="L22">
        <v>22</v>
      </c>
    </row>
    <row r="23" spans="2:12" x14ac:dyDescent="0.25">
      <c r="B23">
        <v>2009</v>
      </c>
      <c r="C23">
        <v>764074</v>
      </c>
      <c r="D23">
        <v>3197517</v>
      </c>
      <c r="F23">
        <v>2013</v>
      </c>
      <c r="G23">
        <v>55</v>
      </c>
      <c r="J23">
        <v>2014</v>
      </c>
      <c r="K23">
        <v>4</v>
      </c>
      <c r="L23">
        <v>26</v>
      </c>
    </row>
    <row r="24" spans="2:12" x14ac:dyDescent="0.25">
      <c r="B24">
        <v>2010</v>
      </c>
      <c r="C24">
        <v>1041136</v>
      </c>
      <c r="D24">
        <v>4238653</v>
      </c>
      <c r="F24">
        <v>2014</v>
      </c>
      <c r="G24">
        <v>62</v>
      </c>
      <c r="J24">
        <v>2015</v>
      </c>
      <c r="K24">
        <v>2</v>
      </c>
      <c r="L24">
        <v>28</v>
      </c>
    </row>
    <row r="25" spans="2:12" x14ac:dyDescent="0.25">
      <c r="B25">
        <v>2011</v>
      </c>
      <c r="C25">
        <v>1272610</v>
      </c>
      <c r="D25">
        <v>5511263</v>
      </c>
      <c r="F25">
        <v>2015</v>
      </c>
      <c r="G25">
        <v>67</v>
      </c>
      <c r="J25">
        <v>2017</v>
      </c>
      <c r="K25">
        <v>2</v>
      </c>
      <c r="L25">
        <v>30</v>
      </c>
    </row>
    <row r="26" spans="2:12" x14ac:dyDescent="0.25">
      <c r="B26">
        <v>2012</v>
      </c>
      <c r="C26">
        <v>1211353</v>
      </c>
      <c r="D26">
        <v>6722616</v>
      </c>
      <c r="F26">
        <v>2017</v>
      </c>
      <c r="G26">
        <v>71</v>
      </c>
      <c r="J26">
        <v>2020</v>
      </c>
      <c r="K26">
        <v>3</v>
      </c>
      <c r="L26">
        <v>33</v>
      </c>
    </row>
    <row r="27" spans="2:12" x14ac:dyDescent="0.25">
      <c r="B27">
        <v>2013</v>
      </c>
      <c r="C27">
        <v>1322341</v>
      </c>
      <c r="D27">
        <v>8044957</v>
      </c>
      <c r="F27">
        <v>2018</v>
      </c>
      <c r="G27">
        <v>75</v>
      </c>
      <c r="J27">
        <v>2021</v>
      </c>
      <c r="K27">
        <v>2</v>
      </c>
      <c r="L27">
        <v>35</v>
      </c>
    </row>
    <row r="28" spans="2:12" x14ac:dyDescent="0.25">
      <c r="B28">
        <v>2014</v>
      </c>
      <c r="C28">
        <v>1732048</v>
      </c>
      <c r="D28">
        <v>9777005</v>
      </c>
      <c r="F28">
        <v>2019</v>
      </c>
      <c r="G28">
        <v>78</v>
      </c>
    </row>
    <row r="29" spans="2:12" x14ac:dyDescent="0.25">
      <c r="B29">
        <v>2015</v>
      </c>
      <c r="C29">
        <v>2010727</v>
      </c>
      <c r="D29">
        <v>11787732</v>
      </c>
      <c r="F29">
        <v>2020</v>
      </c>
      <c r="G29">
        <v>84</v>
      </c>
    </row>
    <row r="30" spans="2:12" x14ac:dyDescent="0.25">
      <c r="B30">
        <v>2016</v>
      </c>
      <c r="C30">
        <v>2035070</v>
      </c>
      <c r="D30">
        <v>13822802</v>
      </c>
      <c r="F30">
        <v>2021</v>
      </c>
      <c r="G30">
        <v>97</v>
      </c>
    </row>
    <row r="31" spans="2:12" x14ac:dyDescent="0.25">
      <c r="B31">
        <v>2017</v>
      </c>
      <c r="C31">
        <v>1908731</v>
      </c>
      <c r="D31">
        <v>15731533</v>
      </c>
      <c r="F31">
        <v>2022</v>
      </c>
      <c r="G31">
        <v>98</v>
      </c>
    </row>
    <row r="32" spans="2:12" x14ac:dyDescent="0.25">
      <c r="B32">
        <v>2018</v>
      </c>
      <c r="C32">
        <v>1707494</v>
      </c>
      <c r="D32">
        <v>17439027</v>
      </c>
    </row>
    <row r="33" spans="2:4" x14ac:dyDescent="0.25">
      <c r="B33">
        <v>2019</v>
      </c>
      <c r="C33">
        <v>1589068</v>
      </c>
      <c r="D33">
        <v>19028095</v>
      </c>
    </row>
    <row r="34" spans="2:4" x14ac:dyDescent="0.25">
      <c r="B34">
        <v>2020</v>
      </c>
      <c r="C34">
        <v>1721738</v>
      </c>
      <c r="D34">
        <v>20749833</v>
      </c>
    </row>
    <row r="35" spans="2:4" x14ac:dyDescent="0.25">
      <c r="B35">
        <v>2021</v>
      </c>
      <c r="C35">
        <v>1839779</v>
      </c>
      <c r="D35">
        <v>22589612</v>
      </c>
    </row>
    <row r="36" spans="2:4" x14ac:dyDescent="0.25">
      <c r="B36">
        <v>2022</v>
      </c>
      <c r="C36">
        <v>1656717</v>
      </c>
      <c r="D36">
        <v>24246329</v>
      </c>
    </row>
    <row r="37" spans="2:4" x14ac:dyDescent="0.25">
      <c r="B37">
        <v>2023</v>
      </c>
      <c r="C37">
        <v>1469979</v>
      </c>
      <c r="D37">
        <v>25716308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Jou</dc:creator>
  <cp:lastModifiedBy>Marc Jou</cp:lastModifiedBy>
  <dcterms:created xsi:type="dcterms:W3CDTF">2025-12-11T14:41:28Z</dcterms:created>
  <dcterms:modified xsi:type="dcterms:W3CDTF">2025-12-11T16:54:44Z</dcterms:modified>
</cp:coreProperties>
</file>