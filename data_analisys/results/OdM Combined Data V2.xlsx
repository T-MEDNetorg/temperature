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j\CSIC\Projects\tMednet\data_analisys\results\"/>
    </mc:Choice>
  </mc:AlternateContent>
  <xr:revisionPtr revIDLastSave="0" documentId="13_ncr:1_{3DC8AAB3-FCE8-4182-865F-528C045D8625}" xr6:coauthVersionLast="47" xr6:coauthVersionMax="47" xr10:uidLastSave="{00000000-0000-0000-0000-000000000000}"/>
  <bookViews>
    <workbookView xWindow="-120" yWindow="-120" windowWidth="29040" windowHeight="15720" xr2:uid="{4049120F-9173-4E9E-85A8-5F36BF2CBC54}"/>
  </bookViews>
  <sheets>
    <sheet name="Obs" sheetId="1" r:id="rId1"/>
    <sheet name="MPA" sheetId="2" r:id="rId2"/>
    <sheet name="MPA COM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3" l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4" i="3"/>
  <c r="G17" i="1"/>
  <c r="G16" i="1"/>
  <c r="G19" i="1"/>
  <c r="G18" i="1"/>
  <c r="C19" i="1"/>
  <c r="C16" i="1"/>
  <c r="C18" i="1"/>
  <c r="C17" i="1"/>
</calcChain>
</file>

<file path=xl/sharedStrings.xml><?xml version="1.0" encoding="utf-8"?>
<sst xmlns="http://schemas.openxmlformats.org/spreadsheetml/2006/main" count="754" uniqueCount="96">
  <si>
    <t>Project</t>
  </si>
  <si>
    <t>Latitude</t>
  </si>
  <si>
    <t>Alerta Meduses</t>
  </si>
  <si>
    <t>Algues Invasores</t>
  </si>
  <si>
    <t>Atenció Coralls!</t>
  </si>
  <si>
    <t>Crustacis Decàpodes</t>
  </si>
  <si>
    <t>Peixos Exòtics</t>
  </si>
  <si>
    <t>Peixos i Escalfament</t>
  </si>
  <si>
    <t>Praderies Marines</t>
  </si>
  <si>
    <t>2024-2025</t>
  </si>
  <si>
    <t>Pre 2024</t>
  </si>
  <si>
    <t>NAME</t>
  </si>
  <si>
    <t>Acantilados de Maro-Cerro Gordo</t>
  </si>
  <si>
    <t>Aiguamolls de l'Alt Empordà</t>
  </si>
  <si>
    <t>Archipielago de Cabrera</t>
  </si>
  <si>
    <t>Arcipelago Toscano</t>
  </si>
  <si>
    <t>Badia de Palma</t>
  </si>
  <si>
    <t>Bouches De Bonifacio</t>
  </si>
  <si>
    <t>Cabo De Palos - Islas Hormigas</t>
  </si>
  <si>
    <t>Cabo Tiñoso</t>
  </si>
  <si>
    <t>Cabo de Gata-Níjar</t>
  </si>
  <si>
    <t>Calanques</t>
  </si>
  <si>
    <t>Cap Corse et Agriate</t>
  </si>
  <si>
    <t>Cap Lindles</t>
  </si>
  <si>
    <t>Cap de Creus</t>
  </si>
  <si>
    <t>Cerbère-Banyuls</t>
  </si>
  <si>
    <t>Cinque Terre</t>
  </si>
  <si>
    <t>Corredor de Migracion de Cetaceos del Mediterraneo</t>
  </si>
  <si>
    <t>Costa nord-est d'Eivissa-Tagomago</t>
  </si>
  <si>
    <t>Costes del Garraf</t>
  </si>
  <si>
    <t>Costes del Maresme</t>
  </si>
  <si>
    <t>Costes del Tarragonès</t>
  </si>
  <si>
    <t>Del Montgri, les Illes Medes i el Baix Ter</t>
  </si>
  <si>
    <t>Delta de l'Ebre</t>
  </si>
  <si>
    <t>Es Vedra i es Vedranell</t>
  </si>
  <si>
    <t>Espacio marino de l'Empordà</t>
  </si>
  <si>
    <t>Espacio marino del Delta de l'Ebre-Illes Columbretes</t>
  </si>
  <si>
    <t>Estrecho</t>
  </si>
  <si>
    <t>Fondos Marinos Levante Almeriense</t>
  </si>
  <si>
    <t>Fons Marins del Cap de Sant Antoni</t>
  </si>
  <si>
    <t>Golfe du Lion</t>
  </si>
  <si>
    <t>Ile Plane (Paloma)</t>
  </si>
  <si>
    <t>Illa de Tabarca</t>
  </si>
  <si>
    <t>Illa de l’Aire</t>
  </si>
  <si>
    <t>Illa del Toro</t>
  </si>
  <si>
    <t>Illes Columbretes</t>
  </si>
  <si>
    <t>Illes Malgrats</t>
  </si>
  <si>
    <t>Illots de Ponent</t>
  </si>
  <si>
    <t>Irta</t>
  </si>
  <si>
    <t>Isola dell'Asinara</t>
  </si>
  <si>
    <t>Isola di Ustica</t>
  </si>
  <si>
    <t>Isole Ciclopi</t>
  </si>
  <si>
    <t>Isole Egadi</t>
  </si>
  <si>
    <t>Isole Pelagie</t>
  </si>
  <si>
    <t>Karaburun-Ildır Körfezi</t>
  </si>
  <si>
    <t>Kavo Gkreko</t>
  </si>
  <si>
    <t>Kaş-Kekova</t>
  </si>
  <si>
    <t>Litoral del Baix Empordà</t>
  </si>
  <si>
    <t>Litoral meridional tarragoní</t>
  </si>
  <si>
    <t>Llevant De Mallorca - Cala Ratjada</t>
  </si>
  <si>
    <t>Mar Menor and Oriental Mediterranean zone of the Region of Murcia coast</t>
  </si>
  <si>
    <t>Marine area around Gozo</t>
  </si>
  <si>
    <t>Marine area between Rdum Majjiesa and Għar Lapsi</t>
  </si>
  <si>
    <t>Marine area between San Dimitri Point (Gozo) and Il-Qaliet</t>
  </si>
  <si>
    <t>Marine area within the limits of Għar Lapsi and Filfla</t>
  </si>
  <si>
    <t>Massís de les Cadiretes</t>
  </si>
  <si>
    <t>Masía Blanca</t>
  </si>
  <si>
    <t>Migjorn De Mallorca</t>
  </si>
  <si>
    <t>Nord de Menorca</t>
  </si>
  <si>
    <t>Pelagos Sanctuary for Marine Mammals</t>
  </si>
  <si>
    <t>Penisola del Sinis - Isola Mal di Ventre</t>
  </si>
  <si>
    <t>Pinya De Rosa</t>
  </si>
  <si>
    <t>Port-Cros</t>
  </si>
  <si>
    <t>Portofino</t>
  </si>
  <si>
    <t>Posidonies du cap d'Agde</t>
  </si>
  <si>
    <t>Regno di Nettuno</t>
  </si>
  <si>
    <t>S'Albufera des Grau</t>
  </si>
  <si>
    <t>Sa Dragonera</t>
  </si>
  <si>
    <t>Salinas y Arenales de San Pedro del Pinatar</t>
  </si>
  <si>
    <t>Scandola</t>
  </si>
  <si>
    <t>Serra De Tramuntana</t>
  </si>
  <si>
    <t>Serra Gelada</t>
  </si>
  <si>
    <t>Ses Salines d'Eivissa I Formentera</t>
  </si>
  <si>
    <t>Tavolara - Punta Coda Cavallo</t>
  </si>
  <si>
    <t>The Southwest Sea</t>
  </si>
  <si>
    <t>Île du Grand Rouveau - les Embiez</t>
  </si>
  <si>
    <t>Arrecife Barrera de Posidonia</t>
  </si>
  <si>
    <t>Côte Bleue</t>
  </si>
  <si>
    <t>Category</t>
  </si>
  <si>
    <t>Shifts species distribution</t>
  </si>
  <si>
    <t>Episodic events</t>
  </si>
  <si>
    <t>Exotic species</t>
  </si>
  <si>
    <t>Phenological changes</t>
  </si>
  <si>
    <t>Obs</t>
  </si>
  <si>
    <t>Is new?</t>
  </si>
  <si>
    <t>How many 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</si>
</sst>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observations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Obs!$C$15</c:f>
              <c:strCache>
                <c:ptCount val="1"/>
                <c:pt idx="0">
                  <c:v>Obs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A4-4FDC-A8AE-55DD02E6FF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A5-43AB-A19A-4878221228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0A5-43AB-A19A-4878221228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DA4-4FDC-A8AE-55DD02E6FFC1}"/>
              </c:ext>
            </c:extLst>
          </c:dPt>
          <c:dLbls>
            <c:dLbl>
              <c:idx val="0"/>
              <c:layout>
                <c:manualLayout>
                  <c:x val="0.10416666666666667"/>
                  <c:y val="4.306417657825239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A4-4FDC-A8AE-55DD02E6FFC1}"/>
                </c:ext>
              </c:extLst>
            </c:dLbl>
            <c:dLbl>
              <c:idx val="1"/>
              <c:layout>
                <c:manualLayout>
                  <c:x val="-9.7916666666666707E-2"/>
                  <c:y val="-6.6252579351157711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A5-43AB-A19A-4878221228C3}"/>
                </c:ext>
              </c:extLst>
            </c:dLbl>
            <c:dLbl>
              <c:idx val="2"/>
              <c:layout>
                <c:manualLayout>
                  <c:x val="-7.4999999999999997E-2"/>
                  <c:y val="-8.944098212406294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A5-43AB-A19A-4878221228C3}"/>
                </c:ext>
              </c:extLst>
            </c:dLbl>
            <c:dLbl>
              <c:idx val="3"/>
              <c:layout>
                <c:manualLayout>
                  <c:x val="-4.5833333333333406E-2"/>
                  <c:y val="-0.1358177876698733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A4-4FDC-A8AE-55DD02E6FF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Obs!$B$16:$B$19</c:f>
              <c:strCache>
                <c:ptCount val="4"/>
                <c:pt idx="0">
                  <c:v>Shifts species distribution</c:v>
                </c:pt>
                <c:pt idx="1">
                  <c:v>Exotic species</c:v>
                </c:pt>
                <c:pt idx="2">
                  <c:v>Episodic events</c:v>
                </c:pt>
                <c:pt idx="3">
                  <c:v>Phenological changes</c:v>
                </c:pt>
              </c:strCache>
            </c:strRef>
          </c:cat>
          <c:val>
            <c:numRef>
              <c:f>Obs!$C$16:$C$19</c:f>
              <c:numCache>
                <c:formatCode>General</c:formatCode>
                <c:ptCount val="4"/>
                <c:pt idx="0">
                  <c:v>2971</c:v>
                </c:pt>
                <c:pt idx="1">
                  <c:v>448</c:v>
                </c:pt>
                <c:pt idx="2">
                  <c:v>680</c:v>
                </c:pt>
                <c:pt idx="3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A4-4FDC-A8AE-55DD02E6FFC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44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200025</xdr:colOff>
      <xdr:row>4</xdr:row>
      <xdr:rowOff>242886</xdr:rowOff>
    </xdr:from>
    <xdr:to>
      <xdr:col>16</xdr:col>
      <xdr:colOff>200025</xdr:colOff>
      <xdr:row>15</xdr:row>
      <xdr:rowOff>266699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BBF7484-08BD-4232-FA9F-8435CEF54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9F2C1-F9CF-4830-A4B4-AA3F42327FC0}">
  <dimension ref="B3:H19"/>
  <sheetViews>
    <sheetView tabSelected="1" topLeftCell="A5" workbookViewId="0">
      <selection activeCell="R12" sqref="R12"/>
    </sheetView>
  </sheetViews>
  <sheetFormatPr baseColWidth="10" defaultRowHeight="15" x14ac:dyDescent="0.25"/>
  <cols>
    <col min="2" max="2" width="20.28515625" bestFit="1" customWidth="1"/>
    <col min="6" max="6" width="20.28515625" bestFit="1" customWidth="1"/>
  </cols>
  <sheetData>
    <row r="3" spans="2:8" x14ac:dyDescent="0.25">
      <c r="B3" t="s">
        <v>9</v>
      </c>
      <c r="F3" t="s">
        <v>10</v>
      </c>
    </row>
    <row r="4" spans="2:8" x14ac:dyDescent="0.25">
      <c r="B4" s="1" t="s">
        <v>0</v>
      </c>
      <c r="C4" s="1" t="s">
        <v>93</v>
      </c>
      <c r="D4" s="1" t="s">
        <v>88</v>
      </c>
      <c r="F4" s="1" t="s">
        <v>0</v>
      </c>
      <c r="G4" s="1" t="s">
        <v>93</v>
      </c>
      <c r="H4" s="1" t="s">
        <v>88</v>
      </c>
    </row>
    <row r="5" spans="2:8" ht="45" x14ac:dyDescent="0.25">
      <c r="B5" s="1" t="s">
        <v>2</v>
      </c>
      <c r="C5">
        <v>875</v>
      </c>
      <c r="D5" s="2" t="s">
        <v>89</v>
      </c>
      <c r="F5" s="1" t="s">
        <v>2</v>
      </c>
      <c r="G5">
        <v>2131</v>
      </c>
      <c r="H5" s="2" t="s">
        <v>89</v>
      </c>
    </row>
    <row r="6" spans="2:8" ht="30" x14ac:dyDescent="0.25">
      <c r="B6" s="1" t="s">
        <v>3</v>
      </c>
      <c r="C6">
        <v>173</v>
      </c>
      <c r="D6" s="3" t="s">
        <v>91</v>
      </c>
      <c r="F6" s="1" t="s">
        <v>3</v>
      </c>
      <c r="G6">
        <v>1052</v>
      </c>
      <c r="H6" s="3" t="s">
        <v>91</v>
      </c>
    </row>
    <row r="7" spans="2:8" ht="30" x14ac:dyDescent="0.25">
      <c r="B7" s="1" t="s">
        <v>4</v>
      </c>
      <c r="C7">
        <v>680</v>
      </c>
      <c r="D7" s="2" t="s">
        <v>90</v>
      </c>
      <c r="F7" s="1" t="s">
        <v>4</v>
      </c>
      <c r="G7">
        <v>1603</v>
      </c>
      <c r="H7" s="2" t="s">
        <v>90</v>
      </c>
    </row>
    <row r="8" spans="2:8" ht="30" x14ac:dyDescent="0.25">
      <c r="B8" s="1" t="s">
        <v>5</v>
      </c>
      <c r="C8">
        <v>233</v>
      </c>
      <c r="D8" s="3" t="s">
        <v>91</v>
      </c>
      <c r="F8" s="1" t="s">
        <v>5</v>
      </c>
      <c r="G8">
        <v>3089</v>
      </c>
      <c r="H8" s="3" t="s">
        <v>91</v>
      </c>
    </row>
    <row r="9" spans="2:8" ht="30" x14ac:dyDescent="0.25">
      <c r="B9" s="1" t="s">
        <v>6</v>
      </c>
      <c r="C9">
        <v>42</v>
      </c>
      <c r="D9" s="3" t="s">
        <v>91</v>
      </c>
      <c r="F9" s="1" t="s">
        <v>6</v>
      </c>
      <c r="G9">
        <v>364</v>
      </c>
      <c r="H9" s="3" t="s">
        <v>91</v>
      </c>
    </row>
    <row r="10" spans="2:8" ht="45" x14ac:dyDescent="0.25">
      <c r="B10" s="1" t="s">
        <v>7</v>
      </c>
      <c r="C10">
        <v>2096</v>
      </c>
      <c r="D10" s="2" t="s">
        <v>89</v>
      </c>
      <c r="F10" s="1" t="s">
        <v>7</v>
      </c>
      <c r="G10">
        <v>2032</v>
      </c>
      <c r="H10" s="2" t="s">
        <v>89</v>
      </c>
    </row>
    <row r="11" spans="2:8" ht="30" x14ac:dyDescent="0.25">
      <c r="B11" s="1" t="s">
        <v>8</v>
      </c>
      <c r="C11">
        <v>252</v>
      </c>
      <c r="D11" s="3" t="s">
        <v>92</v>
      </c>
      <c r="F11" s="1" t="s">
        <v>8</v>
      </c>
      <c r="G11">
        <v>756</v>
      </c>
      <c r="H11" s="3" t="s">
        <v>92</v>
      </c>
    </row>
    <row r="14" spans="2:8" x14ac:dyDescent="0.25">
      <c r="B14" s="4" t="s">
        <v>9</v>
      </c>
      <c r="F14" s="4" t="s">
        <v>10</v>
      </c>
    </row>
    <row r="15" spans="2:8" x14ac:dyDescent="0.25">
      <c r="B15" t="s">
        <v>88</v>
      </c>
      <c r="C15" t="s">
        <v>93</v>
      </c>
      <c r="F15" t="s">
        <v>88</v>
      </c>
      <c r="G15" t="s">
        <v>93</v>
      </c>
    </row>
    <row r="16" spans="2:8" ht="30" x14ac:dyDescent="0.25">
      <c r="B16" s="2" t="s">
        <v>89</v>
      </c>
      <c r="C16">
        <f>C5+C10</f>
        <v>2971</v>
      </c>
      <c r="F16" s="2" t="s">
        <v>89</v>
      </c>
      <c r="G16">
        <f>G5+G10</f>
        <v>4163</v>
      </c>
    </row>
    <row r="17" spans="2:7" x14ac:dyDescent="0.25">
      <c r="B17" s="3" t="s">
        <v>91</v>
      </c>
      <c r="C17">
        <f>C8+C9+C6</f>
        <v>448</v>
      </c>
      <c r="F17" s="3" t="s">
        <v>91</v>
      </c>
      <c r="G17">
        <f>G8+G9+G6</f>
        <v>4505</v>
      </c>
    </row>
    <row r="18" spans="2:7" x14ac:dyDescent="0.25">
      <c r="B18" s="2" t="s">
        <v>90</v>
      </c>
      <c r="C18">
        <f>C7</f>
        <v>680</v>
      </c>
      <c r="F18" s="2" t="s">
        <v>90</v>
      </c>
      <c r="G18">
        <f>G7</f>
        <v>1603</v>
      </c>
    </row>
    <row r="19" spans="2:7" ht="30" x14ac:dyDescent="0.25">
      <c r="B19" s="3" t="s">
        <v>92</v>
      </c>
      <c r="C19">
        <f>C11</f>
        <v>252</v>
      </c>
      <c r="F19" s="3" t="s">
        <v>92</v>
      </c>
      <c r="G19">
        <f>G11</f>
        <v>756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996C0-049A-42A2-AFDD-AC5062A51E7E}">
  <dimension ref="B3:H280"/>
  <sheetViews>
    <sheetView topLeftCell="A249" workbookViewId="0">
      <selection activeCell="F5" sqref="F5:F280"/>
    </sheetView>
  </sheetViews>
  <sheetFormatPr baseColWidth="10" defaultRowHeight="15" x14ac:dyDescent="0.25"/>
  <cols>
    <col min="2" max="2" width="68.140625" bestFit="1" customWidth="1"/>
    <col min="3" max="3" width="20.28515625" bestFit="1" customWidth="1"/>
    <col min="6" max="6" width="68.140625" bestFit="1" customWidth="1"/>
    <col min="7" max="7" width="20.28515625" bestFit="1" customWidth="1"/>
  </cols>
  <sheetData>
    <row r="3" spans="2:8" x14ac:dyDescent="0.25">
      <c r="B3" t="s">
        <v>9</v>
      </c>
      <c r="F3" t="s">
        <v>10</v>
      </c>
    </row>
    <row r="4" spans="2:8" x14ac:dyDescent="0.25">
      <c r="B4" s="7" t="s">
        <v>12</v>
      </c>
      <c r="C4" s="1" t="s">
        <v>2</v>
      </c>
      <c r="D4">
        <v>1</v>
      </c>
      <c r="F4" s="1" t="s">
        <v>11</v>
      </c>
      <c r="G4" s="1" t="s">
        <v>0</v>
      </c>
      <c r="H4" s="1" t="s">
        <v>1</v>
      </c>
    </row>
    <row r="5" spans="2:8" x14ac:dyDescent="0.25">
      <c r="B5" s="7"/>
      <c r="C5" s="1" t="s">
        <v>3</v>
      </c>
      <c r="D5">
        <v>2</v>
      </c>
      <c r="F5" s="7" t="s">
        <v>12</v>
      </c>
      <c r="G5" s="1" t="s">
        <v>2</v>
      </c>
      <c r="H5">
        <v>8</v>
      </c>
    </row>
    <row r="6" spans="2:8" x14ac:dyDescent="0.25">
      <c r="B6" s="7"/>
      <c r="C6" s="1" t="s">
        <v>4</v>
      </c>
      <c r="D6">
        <v>9</v>
      </c>
      <c r="F6" s="7"/>
      <c r="G6" s="1" t="s">
        <v>3</v>
      </c>
      <c r="H6">
        <v>5</v>
      </c>
    </row>
    <row r="7" spans="2:8" x14ac:dyDescent="0.25">
      <c r="B7" s="7"/>
      <c r="C7" s="1" t="s">
        <v>6</v>
      </c>
      <c r="D7">
        <v>1</v>
      </c>
      <c r="F7" s="7"/>
      <c r="G7" s="1" t="s">
        <v>4</v>
      </c>
      <c r="H7">
        <v>4</v>
      </c>
    </row>
    <row r="8" spans="2:8" x14ac:dyDescent="0.25">
      <c r="B8" s="7" t="s">
        <v>14</v>
      </c>
      <c r="C8" s="1" t="s">
        <v>5</v>
      </c>
      <c r="D8">
        <v>1</v>
      </c>
      <c r="F8" s="7"/>
      <c r="G8" s="1" t="s">
        <v>6</v>
      </c>
      <c r="H8">
        <v>1</v>
      </c>
    </row>
    <row r="9" spans="2:8" x14ac:dyDescent="0.25">
      <c r="B9" s="7"/>
      <c r="C9" s="1" t="s">
        <v>8</v>
      </c>
      <c r="D9">
        <v>3</v>
      </c>
      <c r="F9" s="7" t="s">
        <v>13</v>
      </c>
      <c r="G9" s="1" t="s">
        <v>5</v>
      </c>
      <c r="H9">
        <v>2</v>
      </c>
    </row>
    <row r="10" spans="2:8" x14ac:dyDescent="0.25">
      <c r="B10" s="1" t="s">
        <v>86</v>
      </c>
      <c r="C10" s="1" t="s">
        <v>3</v>
      </c>
      <c r="D10">
        <v>1</v>
      </c>
      <c r="F10" s="7"/>
      <c r="G10" s="1" t="s">
        <v>7</v>
      </c>
      <c r="H10">
        <v>4</v>
      </c>
    </row>
    <row r="11" spans="2:8" x14ac:dyDescent="0.25">
      <c r="B11" s="7" t="s">
        <v>16</v>
      </c>
      <c r="C11" s="1" t="s">
        <v>2</v>
      </c>
      <c r="D11">
        <v>3</v>
      </c>
      <c r="F11" s="7"/>
      <c r="G11" s="1" t="s">
        <v>8</v>
      </c>
      <c r="H11">
        <v>1</v>
      </c>
    </row>
    <row r="12" spans="2:8" x14ac:dyDescent="0.25">
      <c r="B12" s="7"/>
      <c r="C12" s="1" t="s">
        <v>3</v>
      </c>
      <c r="D12">
        <v>7</v>
      </c>
      <c r="F12" s="7" t="s">
        <v>14</v>
      </c>
      <c r="G12" s="1" t="s">
        <v>2</v>
      </c>
      <c r="H12">
        <v>9</v>
      </c>
    </row>
    <row r="13" spans="2:8" x14ac:dyDescent="0.25">
      <c r="B13" s="7"/>
      <c r="C13" s="1" t="s">
        <v>4</v>
      </c>
      <c r="D13">
        <v>2</v>
      </c>
      <c r="F13" s="7"/>
      <c r="G13" s="1" t="s">
        <v>3</v>
      </c>
      <c r="H13">
        <v>14</v>
      </c>
    </row>
    <row r="14" spans="2:8" x14ac:dyDescent="0.25">
      <c r="B14" s="7"/>
      <c r="C14" s="1" t="s">
        <v>5</v>
      </c>
      <c r="D14">
        <v>5</v>
      </c>
      <c r="F14" s="7"/>
      <c r="G14" s="1" t="s">
        <v>4</v>
      </c>
      <c r="H14">
        <v>1</v>
      </c>
    </row>
    <row r="15" spans="2:8" x14ac:dyDescent="0.25">
      <c r="B15" s="7"/>
      <c r="C15" s="1" t="s">
        <v>8</v>
      </c>
      <c r="D15">
        <v>1</v>
      </c>
      <c r="F15" s="7"/>
      <c r="G15" s="1" t="s">
        <v>5</v>
      </c>
      <c r="H15">
        <v>7</v>
      </c>
    </row>
    <row r="16" spans="2:8" x14ac:dyDescent="0.25">
      <c r="B16" s="7" t="s">
        <v>18</v>
      </c>
      <c r="C16" s="1" t="s">
        <v>2</v>
      </c>
      <c r="D16">
        <v>4</v>
      </c>
      <c r="F16" s="7"/>
      <c r="G16" s="1" t="s">
        <v>6</v>
      </c>
      <c r="H16">
        <v>1</v>
      </c>
    </row>
    <row r="17" spans="2:8" x14ac:dyDescent="0.25">
      <c r="B17" s="7"/>
      <c r="C17" s="1" t="s">
        <v>3</v>
      </c>
      <c r="D17">
        <v>2</v>
      </c>
      <c r="F17" s="7"/>
      <c r="G17" s="1" t="s">
        <v>8</v>
      </c>
      <c r="H17">
        <v>9</v>
      </c>
    </row>
    <row r="18" spans="2:8" x14ac:dyDescent="0.25">
      <c r="B18" s="7"/>
      <c r="C18" s="1" t="s">
        <v>4</v>
      </c>
      <c r="D18">
        <v>5</v>
      </c>
      <c r="F18" s="1" t="s">
        <v>15</v>
      </c>
      <c r="G18" s="1" t="s">
        <v>7</v>
      </c>
      <c r="H18">
        <v>8</v>
      </c>
    </row>
    <row r="19" spans="2:8" x14ac:dyDescent="0.25">
      <c r="B19" s="7"/>
      <c r="C19" s="1" t="s">
        <v>6</v>
      </c>
      <c r="D19">
        <v>1</v>
      </c>
      <c r="F19" s="7" t="s">
        <v>16</v>
      </c>
      <c r="G19" s="1" t="s">
        <v>2</v>
      </c>
      <c r="H19">
        <v>3</v>
      </c>
    </row>
    <row r="20" spans="2:8" x14ac:dyDescent="0.25">
      <c r="B20" s="7"/>
      <c r="C20" s="1" t="s">
        <v>7</v>
      </c>
      <c r="D20">
        <v>8</v>
      </c>
      <c r="F20" s="7"/>
      <c r="G20" s="1" t="s">
        <v>3</v>
      </c>
      <c r="H20">
        <v>26</v>
      </c>
    </row>
    <row r="21" spans="2:8" x14ac:dyDescent="0.25">
      <c r="B21" s="7"/>
      <c r="C21" s="1" t="s">
        <v>8</v>
      </c>
      <c r="D21">
        <v>1</v>
      </c>
      <c r="F21" s="7"/>
      <c r="G21" s="1" t="s">
        <v>4</v>
      </c>
      <c r="H21">
        <v>2</v>
      </c>
    </row>
    <row r="22" spans="2:8" x14ac:dyDescent="0.25">
      <c r="B22" s="7" t="s">
        <v>19</v>
      </c>
      <c r="C22" s="1" t="s">
        <v>2</v>
      </c>
      <c r="D22">
        <v>14</v>
      </c>
      <c r="F22" s="7"/>
      <c r="G22" s="1" t="s">
        <v>5</v>
      </c>
      <c r="H22">
        <v>10</v>
      </c>
    </row>
    <row r="23" spans="2:8" x14ac:dyDescent="0.25">
      <c r="B23" s="7"/>
      <c r="C23" s="1" t="s">
        <v>3</v>
      </c>
      <c r="D23">
        <v>1</v>
      </c>
      <c r="F23" s="7"/>
      <c r="G23" s="1" t="s">
        <v>8</v>
      </c>
      <c r="H23">
        <v>2</v>
      </c>
    </row>
    <row r="24" spans="2:8" x14ac:dyDescent="0.25">
      <c r="B24" s="7"/>
      <c r="C24" s="1" t="s">
        <v>4</v>
      </c>
      <c r="D24">
        <v>1</v>
      </c>
      <c r="F24" s="7" t="s">
        <v>17</v>
      </c>
      <c r="G24" s="1" t="s">
        <v>3</v>
      </c>
      <c r="H24">
        <v>2</v>
      </c>
    </row>
    <row r="25" spans="2:8" x14ac:dyDescent="0.25">
      <c r="B25" s="7"/>
      <c r="C25" s="1" t="s">
        <v>7</v>
      </c>
      <c r="D25">
        <v>44</v>
      </c>
      <c r="F25" s="7"/>
      <c r="G25" s="1" t="s">
        <v>6</v>
      </c>
      <c r="H25">
        <v>2</v>
      </c>
    </row>
    <row r="26" spans="2:8" x14ac:dyDescent="0.25">
      <c r="B26" s="7"/>
      <c r="C26" s="1" t="s">
        <v>8</v>
      </c>
      <c r="D26">
        <v>1</v>
      </c>
      <c r="F26" s="7" t="s">
        <v>18</v>
      </c>
      <c r="G26" s="1" t="s">
        <v>2</v>
      </c>
      <c r="H26">
        <v>9</v>
      </c>
    </row>
    <row r="27" spans="2:8" x14ac:dyDescent="0.25">
      <c r="B27" s="7" t="s">
        <v>20</v>
      </c>
      <c r="C27" s="1" t="s">
        <v>2</v>
      </c>
      <c r="D27">
        <v>1</v>
      </c>
      <c r="F27" s="7"/>
      <c r="G27" s="1" t="s">
        <v>3</v>
      </c>
      <c r="H27">
        <v>12</v>
      </c>
    </row>
    <row r="28" spans="2:8" x14ac:dyDescent="0.25">
      <c r="B28" s="7"/>
      <c r="C28" s="1" t="s">
        <v>4</v>
      </c>
      <c r="D28">
        <v>1</v>
      </c>
      <c r="F28" s="7"/>
      <c r="G28" s="1" t="s">
        <v>4</v>
      </c>
      <c r="H28">
        <v>18</v>
      </c>
    </row>
    <row r="29" spans="2:8" x14ac:dyDescent="0.25">
      <c r="B29" s="7"/>
      <c r="C29" s="1" t="s">
        <v>5</v>
      </c>
      <c r="D29">
        <v>5</v>
      </c>
      <c r="F29" s="7"/>
      <c r="G29" s="1" t="s">
        <v>5</v>
      </c>
      <c r="H29">
        <v>5</v>
      </c>
    </row>
    <row r="30" spans="2:8" x14ac:dyDescent="0.25">
      <c r="B30" s="7"/>
      <c r="C30" s="1" t="s">
        <v>8</v>
      </c>
      <c r="D30">
        <v>8</v>
      </c>
      <c r="F30" s="7"/>
      <c r="G30" s="1" t="s">
        <v>8</v>
      </c>
      <c r="H30">
        <v>1</v>
      </c>
    </row>
    <row r="31" spans="2:8" x14ac:dyDescent="0.25">
      <c r="B31" s="7" t="s">
        <v>21</v>
      </c>
      <c r="C31" s="1" t="s">
        <v>4</v>
      </c>
      <c r="D31">
        <v>105</v>
      </c>
      <c r="F31" s="7" t="s">
        <v>19</v>
      </c>
      <c r="G31" s="1" t="s">
        <v>2</v>
      </c>
      <c r="H31">
        <v>3</v>
      </c>
    </row>
    <row r="32" spans="2:8" x14ac:dyDescent="0.25">
      <c r="B32" s="7"/>
      <c r="C32" s="1" t="s">
        <v>7</v>
      </c>
      <c r="D32">
        <v>100</v>
      </c>
      <c r="F32" s="7"/>
      <c r="G32" s="1" t="s">
        <v>4</v>
      </c>
      <c r="H32">
        <v>1</v>
      </c>
    </row>
    <row r="33" spans="2:8" x14ac:dyDescent="0.25">
      <c r="B33" s="1" t="s">
        <v>22</v>
      </c>
      <c r="C33" s="1" t="s">
        <v>4</v>
      </c>
      <c r="D33">
        <v>1</v>
      </c>
      <c r="F33" s="7"/>
      <c r="G33" s="1" t="s">
        <v>5</v>
      </c>
      <c r="H33">
        <v>4</v>
      </c>
    </row>
    <row r="34" spans="2:8" x14ac:dyDescent="0.25">
      <c r="B34" s="7" t="s">
        <v>24</v>
      </c>
      <c r="C34" s="1" t="s">
        <v>2</v>
      </c>
      <c r="D34">
        <v>23</v>
      </c>
      <c r="F34" s="7"/>
      <c r="G34" s="1" t="s">
        <v>8</v>
      </c>
      <c r="H34">
        <v>1</v>
      </c>
    </row>
    <row r="35" spans="2:8" x14ac:dyDescent="0.25">
      <c r="B35" s="7"/>
      <c r="C35" s="1" t="s">
        <v>3</v>
      </c>
      <c r="D35">
        <v>2</v>
      </c>
      <c r="F35" s="7" t="s">
        <v>20</v>
      </c>
      <c r="G35" s="1" t="s">
        <v>2</v>
      </c>
      <c r="H35">
        <v>7</v>
      </c>
    </row>
    <row r="36" spans="2:8" x14ac:dyDescent="0.25">
      <c r="B36" s="7"/>
      <c r="C36" s="1" t="s">
        <v>4</v>
      </c>
      <c r="D36">
        <v>38</v>
      </c>
      <c r="F36" s="7"/>
      <c r="G36" s="1" t="s">
        <v>3</v>
      </c>
      <c r="H36">
        <v>3</v>
      </c>
    </row>
    <row r="37" spans="2:8" x14ac:dyDescent="0.25">
      <c r="B37" s="7"/>
      <c r="C37" s="1" t="s">
        <v>5</v>
      </c>
      <c r="D37">
        <v>2</v>
      </c>
      <c r="F37" s="7"/>
      <c r="G37" s="1" t="s">
        <v>4</v>
      </c>
      <c r="H37">
        <v>5</v>
      </c>
    </row>
    <row r="38" spans="2:8" x14ac:dyDescent="0.25">
      <c r="B38" s="7"/>
      <c r="C38" s="1" t="s">
        <v>7</v>
      </c>
      <c r="D38">
        <v>232</v>
      </c>
      <c r="F38" s="7"/>
      <c r="G38" s="1" t="s">
        <v>5</v>
      </c>
      <c r="H38">
        <v>7</v>
      </c>
    </row>
    <row r="39" spans="2:8" x14ac:dyDescent="0.25">
      <c r="B39" s="7"/>
      <c r="C39" s="1" t="s">
        <v>8</v>
      </c>
      <c r="D39">
        <v>2</v>
      </c>
      <c r="F39" s="7"/>
      <c r="G39" s="1" t="s">
        <v>6</v>
      </c>
      <c r="H39">
        <v>2</v>
      </c>
    </row>
    <row r="40" spans="2:8" x14ac:dyDescent="0.25">
      <c r="B40" s="7" t="s">
        <v>27</v>
      </c>
      <c r="C40" s="1" t="s">
        <v>2</v>
      </c>
      <c r="D40">
        <v>1</v>
      </c>
      <c r="F40" s="7"/>
      <c r="G40" s="1" t="s">
        <v>8</v>
      </c>
      <c r="H40">
        <v>5</v>
      </c>
    </row>
    <row r="41" spans="2:8" x14ac:dyDescent="0.25">
      <c r="B41" s="7"/>
      <c r="C41" s="1" t="s">
        <v>3</v>
      </c>
      <c r="D41">
        <v>1</v>
      </c>
      <c r="F41" s="7" t="s">
        <v>21</v>
      </c>
      <c r="G41" s="1" t="s">
        <v>4</v>
      </c>
      <c r="H41">
        <v>22</v>
      </c>
    </row>
    <row r="42" spans="2:8" x14ac:dyDescent="0.25">
      <c r="B42" s="7"/>
      <c r="C42" s="1" t="s">
        <v>7</v>
      </c>
      <c r="D42">
        <v>20</v>
      </c>
      <c r="F42" s="7"/>
      <c r="G42" s="1" t="s">
        <v>7</v>
      </c>
      <c r="H42">
        <v>4</v>
      </c>
    </row>
    <row r="43" spans="2:8" x14ac:dyDescent="0.25">
      <c r="B43" s="7" t="s">
        <v>28</v>
      </c>
      <c r="C43" s="1" t="s">
        <v>3</v>
      </c>
      <c r="D43">
        <v>1</v>
      </c>
      <c r="F43" s="7" t="s">
        <v>22</v>
      </c>
      <c r="G43" s="1" t="s">
        <v>3</v>
      </c>
      <c r="H43">
        <v>8</v>
      </c>
    </row>
    <row r="44" spans="2:8" x14ac:dyDescent="0.25">
      <c r="B44" s="7"/>
      <c r="C44" s="1" t="s">
        <v>8</v>
      </c>
      <c r="D44">
        <v>1</v>
      </c>
      <c r="F44" s="7"/>
      <c r="G44" s="1" t="s">
        <v>5</v>
      </c>
      <c r="H44">
        <v>1</v>
      </c>
    </row>
    <row r="45" spans="2:8" x14ac:dyDescent="0.25">
      <c r="B45" s="7" t="s">
        <v>30</v>
      </c>
      <c r="C45" s="1" t="s">
        <v>2</v>
      </c>
      <c r="D45">
        <v>4</v>
      </c>
      <c r="F45" s="7"/>
      <c r="G45" s="1" t="s">
        <v>6</v>
      </c>
      <c r="H45">
        <v>1</v>
      </c>
    </row>
    <row r="46" spans="2:8" x14ac:dyDescent="0.25">
      <c r="B46" s="7"/>
      <c r="C46" s="1" t="s">
        <v>3</v>
      </c>
      <c r="D46">
        <v>2</v>
      </c>
      <c r="F46" s="7" t="s">
        <v>23</v>
      </c>
      <c r="G46" s="1" t="s">
        <v>3</v>
      </c>
      <c r="H46">
        <v>1</v>
      </c>
    </row>
    <row r="47" spans="2:8" x14ac:dyDescent="0.25">
      <c r="B47" s="7"/>
      <c r="C47" s="1" t="s">
        <v>4</v>
      </c>
      <c r="D47">
        <v>3</v>
      </c>
      <c r="F47" s="7"/>
      <c r="G47" s="1" t="s">
        <v>4</v>
      </c>
      <c r="H47">
        <v>5</v>
      </c>
    </row>
    <row r="48" spans="2:8" x14ac:dyDescent="0.25">
      <c r="B48" s="7"/>
      <c r="C48" s="1" t="s">
        <v>8</v>
      </c>
      <c r="D48">
        <v>2</v>
      </c>
      <c r="F48" s="7" t="s">
        <v>24</v>
      </c>
      <c r="G48" s="1" t="s">
        <v>2</v>
      </c>
      <c r="H48">
        <v>35</v>
      </c>
    </row>
    <row r="49" spans="2:8" x14ac:dyDescent="0.25">
      <c r="B49" s="1" t="s">
        <v>31</v>
      </c>
      <c r="C49" s="1" t="s">
        <v>2</v>
      </c>
      <c r="D49">
        <v>2</v>
      </c>
      <c r="F49" s="7"/>
      <c r="G49" s="1" t="s">
        <v>3</v>
      </c>
      <c r="H49">
        <v>10</v>
      </c>
    </row>
    <row r="50" spans="2:8" x14ac:dyDescent="0.25">
      <c r="B50" s="1" t="s">
        <v>87</v>
      </c>
      <c r="C50" s="1" t="s">
        <v>7</v>
      </c>
      <c r="D50">
        <v>24</v>
      </c>
      <c r="F50" s="7"/>
      <c r="G50" s="1" t="s">
        <v>4</v>
      </c>
      <c r="H50">
        <v>156</v>
      </c>
    </row>
    <row r="51" spans="2:8" x14ac:dyDescent="0.25">
      <c r="B51" s="7" t="s">
        <v>32</v>
      </c>
      <c r="C51" s="1" t="s">
        <v>2</v>
      </c>
      <c r="D51">
        <v>10</v>
      </c>
      <c r="F51" s="7"/>
      <c r="G51" s="1" t="s">
        <v>5</v>
      </c>
      <c r="H51">
        <v>28</v>
      </c>
    </row>
    <row r="52" spans="2:8" x14ac:dyDescent="0.25">
      <c r="B52" s="7"/>
      <c r="C52" s="1" t="s">
        <v>3</v>
      </c>
      <c r="D52">
        <v>9</v>
      </c>
      <c r="F52" s="7"/>
      <c r="G52" s="1" t="s">
        <v>7</v>
      </c>
      <c r="H52">
        <v>300</v>
      </c>
    </row>
    <row r="53" spans="2:8" x14ac:dyDescent="0.25">
      <c r="B53" s="7"/>
      <c r="C53" s="1" t="s">
        <v>4</v>
      </c>
      <c r="D53">
        <v>30</v>
      </c>
      <c r="F53" s="7"/>
      <c r="G53" s="1" t="s">
        <v>8</v>
      </c>
      <c r="H53">
        <v>7</v>
      </c>
    </row>
    <row r="54" spans="2:8" x14ac:dyDescent="0.25">
      <c r="B54" s="7"/>
      <c r="C54" s="1" t="s">
        <v>5</v>
      </c>
      <c r="D54">
        <v>1</v>
      </c>
      <c r="F54" s="7" t="s">
        <v>25</v>
      </c>
      <c r="G54" s="1" t="s">
        <v>2</v>
      </c>
      <c r="H54">
        <v>1</v>
      </c>
    </row>
    <row r="55" spans="2:8" x14ac:dyDescent="0.25">
      <c r="B55" s="7"/>
      <c r="C55" s="1" t="s">
        <v>7</v>
      </c>
      <c r="D55">
        <v>52</v>
      </c>
      <c r="F55" s="7"/>
      <c r="G55" s="1" t="s">
        <v>4</v>
      </c>
      <c r="H55">
        <v>8</v>
      </c>
    </row>
    <row r="56" spans="2:8" x14ac:dyDescent="0.25">
      <c r="B56" s="7"/>
      <c r="C56" s="1" t="s">
        <v>8</v>
      </c>
      <c r="D56">
        <v>5</v>
      </c>
      <c r="F56" s="1" t="s">
        <v>26</v>
      </c>
      <c r="G56" s="1" t="s">
        <v>4</v>
      </c>
      <c r="H56">
        <v>1</v>
      </c>
    </row>
    <row r="57" spans="2:8" x14ac:dyDescent="0.25">
      <c r="B57" s="1" t="s">
        <v>33</v>
      </c>
      <c r="C57" s="1" t="s">
        <v>5</v>
      </c>
      <c r="D57">
        <v>1</v>
      </c>
      <c r="F57" s="7" t="s">
        <v>27</v>
      </c>
      <c r="G57" s="1" t="s">
        <v>2</v>
      </c>
      <c r="H57">
        <v>10</v>
      </c>
    </row>
    <row r="58" spans="2:8" x14ac:dyDescent="0.25">
      <c r="B58" s="1" t="s">
        <v>34</v>
      </c>
      <c r="C58" s="1" t="s">
        <v>2</v>
      </c>
      <c r="D58">
        <v>1</v>
      </c>
      <c r="F58" s="7"/>
      <c r="G58" s="1" t="s">
        <v>3</v>
      </c>
      <c r="H58">
        <v>7</v>
      </c>
    </row>
    <row r="59" spans="2:8" x14ac:dyDescent="0.25">
      <c r="B59" s="7" t="s">
        <v>35</v>
      </c>
      <c r="C59" s="1" t="s">
        <v>2</v>
      </c>
      <c r="D59">
        <v>4</v>
      </c>
      <c r="F59" s="7"/>
      <c r="G59" s="1" t="s">
        <v>4</v>
      </c>
      <c r="H59">
        <v>4</v>
      </c>
    </row>
    <row r="60" spans="2:8" x14ac:dyDescent="0.25">
      <c r="B60" s="7"/>
      <c r="C60" s="1" t="s">
        <v>3</v>
      </c>
      <c r="D60">
        <v>1</v>
      </c>
      <c r="F60" s="7"/>
      <c r="G60" s="1" t="s">
        <v>5</v>
      </c>
      <c r="H60">
        <v>6</v>
      </c>
    </row>
    <row r="61" spans="2:8" x14ac:dyDescent="0.25">
      <c r="B61" s="7"/>
      <c r="C61" s="1" t="s">
        <v>4</v>
      </c>
      <c r="D61">
        <v>11</v>
      </c>
      <c r="F61" s="7"/>
      <c r="G61" s="1" t="s">
        <v>6</v>
      </c>
      <c r="H61">
        <v>2</v>
      </c>
    </row>
    <row r="62" spans="2:8" x14ac:dyDescent="0.25">
      <c r="B62" s="7"/>
      <c r="C62" s="1" t="s">
        <v>5</v>
      </c>
      <c r="D62">
        <v>3</v>
      </c>
      <c r="F62" s="7"/>
      <c r="G62" s="1" t="s">
        <v>7</v>
      </c>
      <c r="H62">
        <v>24</v>
      </c>
    </row>
    <row r="63" spans="2:8" x14ac:dyDescent="0.25">
      <c r="B63" s="7"/>
      <c r="C63" s="1" t="s">
        <v>7</v>
      </c>
      <c r="D63">
        <v>4</v>
      </c>
      <c r="F63" s="7" t="s">
        <v>28</v>
      </c>
      <c r="G63" s="1" t="s">
        <v>2</v>
      </c>
      <c r="H63">
        <v>6</v>
      </c>
    </row>
    <row r="64" spans="2:8" x14ac:dyDescent="0.25">
      <c r="B64" s="7"/>
      <c r="C64" s="1" t="s">
        <v>8</v>
      </c>
      <c r="D64">
        <v>1</v>
      </c>
      <c r="F64" s="7"/>
      <c r="G64" s="1" t="s">
        <v>3</v>
      </c>
      <c r="H64">
        <v>6</v>
      </c>
    </row>
    <row r="65" spans="2:8" x14ac:dyDescent="0.25">
      <c r="B65" s="7" t="s">
        <v>36</v>
      </c>
      <c r="C65" s="1" t="s">
        <v>2</v>
      </c>
      <c r="D65">
        <v>5</v>
      </c>
      <c r="F65" s="7"/>
      <c r="G65" s="1" t="s">
        <v>5</v>
      </c>
      <c r="H65">
        <v>11</v>
      </c>
    </row>
    <row r="66" spans="2:8" x14ac:dyDescent="0.25">
      <c r="B66" s="7"/>
      <c r="C66" s="1" t="s">
        <v>3</v>
      </c>
      <c r="D66">
        <v>1</v>
      </c>
      <c r="F66" s="7"/>
      <c r="G66" s="1" t="s">
        <v>8</v>
      </c>
      <c r="H66">
        <v>1</v>
      </c>
    </row>
    <row r="67" spans="2:8" x14ac:dyDescent="0.25">
      <c r="B67" s="7"/>
      <c r="C67" s="1" t="s">
        <v>4</v>
      </c>
      <c r="D67">
        <v>7</v>
      </c>
      <c r="F67" s="7" t="s">
        <v>29</v>
      </c>
      <c r="G67" s="1" t="s">
        <v>2</v>
      </c>
      <c r="H67">
        <v>1</v>
      </c>
    </row>
    <row r="68" spans="2:8" x14ac:dyDescent="0.25">
      <c r="B68" s="7"/>
      <c r="C68" s="1" t="s">
        <v>5</v>
      </c>
      <c r="D68">
        <v>1</v>
      </c>
      <c r="F68" s="7"/>
      <c r="G68" s="1" t="s">
        <v>3</v>
      </c>
      <c r="H68">
        <v>2</v>
      </c>
    </row>
    <row r="69" spans="2:8" x14ac:dyDescent="0.25">
      <c r="B69" s="7"/>
      <c r="C69" s="1" t="s">
        <v>7</v>
      </c>
      <c r="D69">
        <v>8</v>
      </c>
      <c r="F69" s="7"/>
      <c r="G69" s="1" t="s">
        <v>4</v>
      </c>
      <c r="H69">
        <v>1</v>
      </c>
    </row>
    <row r="70" spans="2:8" x14ac:dyDescent="0.25">
      <c r="B70" s="7"/>
      <c r="C70" s="1" t="s">
        <v>8</v>
      </c>
      <c r="D70">
        <v>2</v>
      </c>
      <c r="F70" s="7"/>
      <c r="G70" s="1" t="s">
        <v>7</v>
      </c>
      <c r="H70">
        <v>8</v>
      </c>
    </row>
    <row r="71" spans="2:8" x14ac:dyDescent="0.25">
      <c r="B71" s="7" t="s">
        <v>37</v>
      </c>
      <c r="C71" s="1" t="s">
        <v>2</v>
      </c>
      <c r="D71">
        <v>9</v>
      </c>
      <c r="F71" s="7" t="s">
        <v>30</v>
      </c>
      <c r="G71" s="1" t="s">
        <v>2</v>
      </c>
      <c r="H71">
        <v>13</v>
      </c>
    </row>
    <row r="72" spans="2:8" x14ac:dyDescent="0.25">
      <c r="B72" s="7"/>
      <c r="C72" s="1" t="s">
        <v>3</v>
      </c>
      <c r="D72">
        <v>3</v>
      </c>
      <c r="F72" s="7"/>
      <c r="G72" s="1" t="s">
        <v>3</v>
      </c>
      <c r="H72">
        <v>1</v>
      </c>
    </row>
    <row r="73" spans="2:8" x14ac:dyDescent="0.25">
      <c r="B73" s="7"/>
      <c r="C73" s="1" t="s">
        <v>4</v>
      </c>
      <c r="D73">
        <v>8</v>
      </c>
      <c r="F73" s="7"/>
      <c r="G73" s="1" t="s">
        <v>4</v>
      </c>
      <c r="H73">
        <v>23</v>
      </c>
    </row>
    <row r="74" spans="2:8" x14ac:dyDescent="0.25">
      <c r="B74" s="7"/>
      <c r="C74" s="1" t="s">
        <v>5</v>
      </c>
      <c r="D74">
        <v>1</v>
      </c>
      <c r="F74" s="7"/>
      <c r="G74" s="1" t="s">
        <v>5</v>
      </c>
      <c r="H74">
        <v>2</v>
      </c>
    </row>
    <row r="75" spans="2:8" x14ac:dyDescent="0.25">
      <c r="B75" s="1" t="s">
        <v>38</v>
      </c>
      <c r="C75" s="1" t="s">
        <v>4</v>
      </c>
      <c r="D75">
        <v>7</v>
      </c>
      <c r="F75" s="7"/>
      <c r="G75" s="1" t="s">
        <v>6</v>
      </c>
      <c r="H75">
        <v>1</v>
      </c>
    </row>
    <row r="76" spans="2:8" x14ac:dyDescent="0.25">
      <c r="B76" s="7" t="s">
        <v>39</v>
      </c>
      <c r="C76" s="1" t="s">
        <v>2</v>
      </c>
      <c r="D76">
        <v>5</v>
      </c>
      <c r="F76" s="7"/>
      <c r="G76" s="1" t="s">
        <v>8</v>
      </c>
      <c r="H76">
        <v>4</v>
      </c>
    </row>
    <row r="77" spans="2:8" x14ac:dyDescent="0.25">
      <c r="B77" s="7"/>
      <c r="C77" s="1" t="s">
        <v>4</v>
      </c>
      <c r="D77">
        <v>3</v>
      </c>
      <c r="F77" s="7" t="s">
        <v>31</v>
      </c>
      <c r="G77" s="1" t="s">
        <v>2</v>
      </c>
      <c r="H77">
        <v>61</v>
      </c>
    </row>
    <row r="78" spans="2:8" x14ac:dyDescent="0.25">
      <c r="B78" s="7"/>
      <c r="C78" s="1" t="s">
        <v>5</v>
      </c>
      <c r="D78">
        <v>4</v>
      </c>
      <c r="F78" s="7"/>
      <c r="G78" s="1" t="s">
        <v>3</v>
      </c>
      <c r="H78">
        <v>20</v>
      </c>
    </row>
    <row r="79" spans="2:8" x14ac:dyDescent="0.25">
      <c r="B79" s="7"/>
      <c r="C79" s="1" t="s">
        <v>7</v>
      </c>
      <c r="D79">
        <v>4</v>
      </c>
      <c r="F79" s="7"/>
      <c r="G79" s="1" t="s">
        <v>4</v>
      </c>
      <c r="H79">
        <v>22</v>
      </c>
    </row>
    <row r="80" spans="2:8" x14ac:dyDescent="0.25">
      <c r="B80" s="7" t="s">
        <v>42</v>
      </c>
      <c r="C80" s="1" t="s">
        <v>2</v>
      </c>
      <c r="D80">
        <v>4</v>
      </c>
      <c r="F80" s="7"/>
      <c r="G80" s="1" t="s">
        <v>5</v>
      </c>
      <c r="H80">
        <v>170</v>
      </c>
    </row>
    <row r="81" spans="2:8" x14ac:dyDescent="0.25">
      <c r="B81" s="7"/>
      <c r="C81" s="1" t="s">
        <v>3</v>
      </c>
      <c r="D81">
        <v>3</v>
      </c>
      <c r="F81" s="7"/>
      <c r="G81" s="1" t="s">
        <v>8</v>
      </c>
      <c r="H81">
        <v>7</v>
      </c>
    </row>
    <row r="82" spans="2:8" x14ac:dyDescent="0.25">
      <c r="B82" s="7"/>
      <c r="C82" s="1" t="s">
        <v>4</v>
      </c>
      <c r="D82">
        <v>9</v>
      </c>
      <c r="F82" s="7" t="s">
        <v>32</v>
      </c>
      <c r="G82" s="1" t="s">
        <v>2</v>
      </c>
      <c r="H82">
        <v>42</v>
      </c>
    </row>
    <row r="83" spans="2:8" x14ac:dyDescent="0.25">
      <c r="B83" s="7"/>
      <c r="C83" s="1" t="s">
        <v>5</v>
      </c>
      <c r="D83">
        <v>1</v>
      </c>
      <c r="F83" s="7"/>
      <c r="G83" s="1" t="s">
        <v>3</v>
      </c>
      <c r="H83">
        <v>16</v>
      </c>
    </row>
    <row r="84" spans="2:8" x14ac:dyDescent="0.25">
      <c r="B84" s="7"/>
      <c r="C84" s="1" t="s">
        <v>8</v>
      </c>
      <c r="D84">
        <v>2</v>
      </c>
      <c r="F84" s="7"/>
      <c r="G84" s="1" t="s">
        <v>4</v>
      </c>
      <c r="H84">
        <v>131</v>
      </c>
    </row>
    <row r="85" spans="2:8" x14ac:dyDescent="0.25">
      <c r="B85" s="7" t="s">
        <v>43</v>
      </c>
      <c r="C85" s="1" t="s">
        <v>2</v>
      </c>
      <c r="D85">
        <v>34</v>
      </c>
      <c r="F85" s="7"/>
      <c r="G85" s="1" t="s">
        <v>5</v>
      </c>
      <c r="H85">
        <v>40</v>
      </c>
    </row>
    <row r="86" spans="2:8" x14ac:dyDescent="0.25">
      <c r="B86" s="7"/>
      <c r="C86" s="1" t="s">
        <v>3</v>
      </c>
      <c r="D86">
        <v>2</v>
      </c>
      <c r="F86" s="7"/>
      <c r="G86" s="1" t="s">
        <v>7</v>
      </c>
      <c r="H86">
        <v>32</v>
      </c>
    </row>
    <row r="87" spans="2:8" x14ac:dyDescent="0.25">
      <c r="B87" s="7"/>
      <c r="C87" s="1" t="s">
        <v>4</v>
      </c>
      <c r="D87">
        <v>4</v>
      </c>
      <c r="F87" s="7"/>
      <c r="G87" s="1" t="s">
        <v>8</v>
      </c>
      <c r="H87">
        <v>7</v>
      </c>
    </row>
    <row r="88" spans="2:8" x14ac:dyDescent="0.25">
      <c r="B88" s="7"/>
      <c r="C88" s="1" t="s">
        <v>6</v>
      </c>
      <c r="D88">
        <v>5</v>
      </c>
      <c r="F88" s="7" t="s">
        <v>33</v>
      </c>
      <c r="G88" s="1" t="s">
        <v>2</v>
      </c>
      <c r="H88">
        <v>2</v>
      </c>
    </row>
    <row r="89" spans="2:8" x14ac:dyDescent="0.25">
      <c r="B89" s="7"/>
      <c r="C89" s="1" t="s">
        <v>7</v>
      </c>
      <c r="D89">
        <v>56</v>
      </c>
      <c r="F89" s="7"/>
      <c r="G89" s="1" t="s">
        <v>5</v>
      </c>
      <c r="H89">
        <v>2</v>
      </c>
    </row>
    <row r="90" spans="2:8" x14ac:dyDescent="0.25">
      <c r="B90" s="7"/>
      <c r="C90" s="1" t="s">
        <v>8</v>
      </c>
      <c r="D90">
        <v>3</v>
      </c>
      <c r="F90" s="7"/>
      <c r="G90" s="1" t="s">
        <v>8</v>
      </c>
      <c r="H90">
        <v>1</v>
      </c>
    </row>
    <row r="91" spans="2:8" x14ac:dyDescent="0.25">
      <c r="B91" s="7" t="s">
        <v>44</v>
      </c>
      <c r="C91" s="1" t="s">
        <v>3</v>
      </c>
      <c r="D91">
        <v>1</v>
      </c>
      <c r="F91" s="7" t="s">
        <v>34</v>
      </c>
      <c r="G91" s="1" t="s">
        <v>2</v>
      </c>
      <c r="H91">
        <v>1</v>
      </c>
    </row>
    <row r="92" spans="2:8" x14ac:dyDescent="0.25">
      <c r="B92" s="7"/>
      <c r="C92" s="1" t="s">
        <v>4</v>
      </c>
      <c r="D92">
        <v>13</v>
      </c>
      <c r="F92" s="7"/>
      <c r="G92" s="1" t="s">
        <v>3</v>
      </c>
      <c r="H92">
        <v>1</v>
      </c>
    </row>
    <row r="93" spans="2:8" x14ac:dyDescent="0.25">
      <c r="B93" s="7"/>
      <c r="C93" s="1" t="s">
        <v>5</v>
      </c>
      <c r="D93">
        <v>2</v>
      </c>
      <c r="F93" s="7"/>
      <c r="G93" s="1" t="s">
        <v>4</v>
      </c>
      <c r="H93">
        <v>2</v>
      </c>
    </row>
    <row r="94" spans="2:8" x14ac:dyDescent="0.25">
      <c r="B94" s="7"/>
      <c r="C94" s="1" t="s">
        <v>6</v>
      </c>
      <c r="D94">
        <v>1</v>
      </c>
      <c r="F94" s="7" t="s">
        <v>35</v>
      </c>
      <c r="G94" s="1" t="s">
        <v>2</v>
      </c>
      <c r="H94">
        <v>15</v>
      </c>
    </row>
    <row r="95" spans="2:8" x14ac:dyDescent="0.25">
      <c r="B95" s="7"/>
      <c r="C95" s="1" t="s">
        <v>8</v>
      </c>
      <c r="D95">
        <v>1</v>
      </c>
      <c r="F95" s="7"/>
      <c r="G95" s="1" t="s">
        <v>3</v>
      </c>
      <c r="H95">
        <v>4</v>
      </c>
    </row>
    <row r="96" spans="2:8" x14ac:dyDescent="0.25">
      <c r="B96" s="7" t="s">
        <v>47</v>
      </c>
      <c r="C96" s="1" t="s">
        <v>2</v>
      </c>
      <c r="D96">
        <v>1</v>
      </c>
      <c r="F96" s="7"/>
      <c r="G96" s="1" t="s">
        <v>4</v>
      </c>
      <c r="H96">
        <v>38</v>
      </c>
    </row>
    <row r="97" spans="2:8" x14ac:dyDescent="0.25">
      <c r="B97" s="7"/>
      <c r="C97" s="1" t="s">
        <v>3</v>
      </c>
      <c r="D97">
        <v>4</v>
      </c>
      <c r="F97" s="7"/>
      <c r="G97" s="1" t="s">
        <v>5</v>
      </c>
      <c r="H97">
        <v>21</v>
      </c>
    </row>
    <row r="98" spans="2:8" x14ac:dyDescent="0.25">
      <c r="B98" s="7"/>
      <c r="C98" s="1" t="s">
        <v>5</v>
      </c>
      <c r="D98">
        <v>1</v>
      </c>
      <c r="F98" s="7"/>
      <c r="G98" s="1" t="s">
        <v>6</v>
      </c>
      <c r="H98">
        <v>1</v>
      </c>
    </row>
    <row r="99" spans="2:8" x14ac:dyDescent="0.25">
      <c r="B99" s="1" t="s">
        <v>49</v>
      </c>
      <c r="C99" s="1" t="s">
        <v>7</v>
      </c>
      <c r="D99">
        <v>4</v>
      </c>
      <c r="F99" s="7"/>
      <c r="G99" s="1" t="s">
        <v>8</v>
      </c>
      <c r="H99">
        <v>4</v>
      </c>
    </row>
    <row r="100" spans="2:8" x14ac:dyDescent="0.25">
      <c r="B100" s="7" t="s">
        <v>50</v>
      </c>
      <c r="C100" s="1" t="s">
        <v>4</v>
      </c>
      <c r="D100">
        <v>3</v>
      </c>
      <c r="F100" s="7" t="s">
        <v>36</v>
      </c>
      <c r="G100" s="1" t="s">
        <v>2</v>
      </c>
      <c r="H100">
        <v>48</v>
      </c>
    </row>
    <row r="101" spans="2:8" x14ac:dyDescent="0.25">
      <c r="B101" s="7"/>
      <c r="C101" s="1" t="s">
        <v>7</v>
      </c>
      <c r="D101">
        <v>12</v>
      </c>
      <c r="F101" s="7"/>
      <c r="G101" s="1" t="s">
        <v>3</v>
      </c>
      <c r="H101">
        <v>13</v>
      </c>
    </row>
    <row r="102" spans="2:8" x14ac:dyDescent="0.25">
      <c r="B102" s="7"/>
      <c r="C102" s="1" t="s">
        <v>8</v>
      </c>
      <c r="D102">
        <v>1</v>
      </c>
      <c r="F102" s="7"/>
      <c r="G102" s="1" t="s">
        <v>4</v>
      </c>
      <c r="H102">
        <v>13</v>
      </c>
    </row>
    <row r="103" spans="2:8" x14ac:dyDescent="0.25">
      <c r="B103" s="1" t="s">
        <v>55</v>
      </c>
      <c r="C103" s="1" t="s">
        <v>6</v>
      </c>
      <c r="D103">
        <v>1</v>
      </c>
      <c r="F103" s="7"/>
      <c r="G103" s="1" t="s">
        <v>5</v>
      </c>
      <c r="H103">
        <v>11</v>
      </c>
    </row>
    <row r="104" spans="2:8" x14ac:dyDescent="0.25">
      <c r="B104" s="7" t="s">
        <v>57</v>
      </c>
      <c r="C104" s="1" t="s">
        <v>2</v>
      </c>
      <c r="D104">
        <v>34</v>
      </c>
      <c r="F104" s="7"/>
      <c r="G104" s="1" t="s">
        <v>6</v>
      </c>
      <c r="H104">
        <v>3</v>
      </c>
    </row>
    <row r="105" spans="2:8" x14ac:dyDescent="0.25">
      <c r="B105" s="7"/>
      <c r="C105" s="1" t="s">
        <v>3</v>
      </c>
      <c r="D105">
        <v>8</v>
      </c>
      <c r="F105" s="7"/>
      <c r="G105" s="1" t="s">
        <v>7</v>
      </c>
      <c r="H105">
        <v>4</v>
      </c>
    </row>
    <row r="106" spans="2:8" x14ac:dyDescent="0.25">
      <c r="B106" s="7"/>
      <c r="C106" s="1" t="s">
        <v>4</v>
      </c>
      <c r="D106">
        <v>82</v>
      </c>
      <c r="F106" s="7"/>
      <c r="G106" s="1" t="s">
        <v>8</v>
      </c>
      <c r="H106">
        <v>13</v>
      </c>
    </row>
    <row r="107" spans="2:8" x14ac:dyDescent="0.25">
      <c r="B107" s="7"/>
      <c r="C107" s="1" t="s">
        <v>5</v>
      </c>
      <c r="D107">
        <v>4</v>
      </c>
      <c r="F107" s="7" t="s">
        <v>37</v>
      </c>
      <c r="G107" s="1" t="s">
        <v>2</v>
      </c>
      <c r="H107">
        <v>4</v>
      </c>
    </row>
    <row r="108" spans="2:8" x14ac:dyDescent="0.25">
      <c r="B108" s="7"/>
      <c r="C108" s="1" t="s">
        <v>7</v>
      </c>
      <c r="D108">
        <v>56</v>
      </c>
      <c r="F108" s="7"/>
      <c r="G108" s="1" t="s">
        <v>3</v>
      </c>
      <c r="H108">
        <v>5</v>
      </c>
    </row>
    <row r="109" spans="2:8" x14ac:dyDescent="0.25">
      <c r="B109" s="7"/>
      <c r="C109" s="1" t="s">
        <v>8</v>
      </c>
      <c r="D109">
        <v>2</v>
      </c>
      <c r="F109" s="7"/>
      <c r="G109" s="1" t="s">
        <v>6</v>
      </c>
      <c r="H109">
        <v>1</v>
      </c>
    </row>
    <row r="110" spans="2:8" x14ac:dyDescent="0.25">
      <c r="B110" s="7" t="s">
        <v>58</v>
      </c>
      <c r="C110" s="1" t="s">
        <v>2</v>
      </c>
      <c r="D110">
        <v>3</v>
      </c>
      <c r="F110" s="7" t="s">
        <v>38</v>
      </c>
      <c r="G110" s="1" t="s">
        <v>2</v>
      </c>
      <c r="H110">
        <v>4</v>
      </c>
    </row>
    <row r="111" spans="2:8" x14ac:dyDescent="0.25">
      <c r="B111" s="7"/>
      <c r="C111" s="1" t="s">
        <v>4</v>
      </c>
      <c r="D111">
        <v>7</v>
      </c>
      <c r="F111" s="7"/>
      <c r="G111" s="1" t="s">
        <v>3</v>
      </c>
      <c r="H111">
        <v>5</v>
      </c>
    </row>
    <row r="112" spans="2:8" x14ac:dyDescent="0.25">
      <c r="B112" s="7"/>
      <c r="C112" s="1" t="s">
        <v>5</v>
      </c>
      <c r="D112">
        <v>1</v>
      </c>
      <c r="F112" s="7"/>
      <c r="G112" s="1" t="s">
        <v>5</v>
      </c>
      <c r="H112">
        <v>3</v>
      </c>
    </row>
    <row r="113" spans="2:8" x14ac:dyDescent="0.25">
      <c r="B113" s="7"/>
      <c r="C113" s="1" t="s">
        <v>7</v>
      </c>
      <c r="D113">
        <v>8</v>
      </c>
      <c r="F113" s="7"/>
      <c r="G113" s="1" t="s">
        <v>8</v>
      </c>
      <c r="H113">
        <v>7</v>
      </c>
    </row>
    <row r="114" spans="2:8" x14ac:dyDescent="0.25">
      <c r="B114" s="7"/>
      <c r="C114" s="1" t="s">
        <v>8</v>
      </c>
      <c r="D114">
        <v>2</v>
      </c>
      <c r="F114" s="7" t="s">
        <v>39</v>
      </c>
      <c r="G114" s="1" t="s">
        <v>2</v>
      </c>
      <c r="H114">
        <v>7</v>
      </c>
    </row>
    <row r="115" spans="2:8" x14ac:dyDescent="0.25">
      <c r="B115" s="7" t="s">
        <v>59</v>
      </c>
      <c r="C115" s="1" t="s">
        <v>2</v>
      </c>
      <c r="D115">
        <v>11</v>
      </c>
      <c r="F115" s="7"/>
      <c r="G115" s="1" t="s">
        <v>4</v>
      </c>
      <c r="H115">
        <v>1</v>
      </c>
    </row>
    <row r="116" spans="2:8" x14ac:dyDescent="0.25">
      <c r="B116" s="7"/>
      <c r="C116" s="1" t="s">
        <v>3</v>
      </c>
      <c r="D116">
        <v>1</v>
      </c>
      <c r="F116" s="7"/>
      <c r="G116" s="1" t="s">
        <v>5</v>
      </c>
      <c r="H116">
        <v>2</v>
      </c>
    </row>
    <row r="117" spans="2:8" x14ac:dyDescent="0.25">
      <c r="B117" s="7"/>
      <c r="C117" s="1" t="s">
        <v>5</v>
      </c>
      <c r="D117">
        <v>3</v>
      </c>
      <c r="F117" s="7"/>
      <c r="G117" s="1" t="s">
        <v>8</v>
      </c>
      <c r="H117">
        <v>2</v>
      </c>
    </row>
    <row r="118" spans="2:8" x14ac:dyDescent="0.25">
      <c r="B118" s="7"/>
      <c r="C118" s="1" t="s">
        <v>6</v>
      </c>
      <c r="D118">
        <v>2</v>
      </c>
      <c r="F118" s="7" t="s">
        <v>40</v>
      </c>
      <c r="G118" s="1" t="s">
        <v>2</v>
      </c>
      <c r="H118">
        <v>1</v>
      </c>
    </row>
    <row r="119" spans="2:8" x14ac:dyDescent="0.25">
      <c r="B119" s="7" t="s">
        <v>60</v>
      </c>
      <c r="C119" s="1" t="s">
        <v>2</v>
      </c>
      <c r="D119">
        <v>15</v>
      </c>
      <c r="F119" s="7"/>
      <c r="G119" s="1" t="s">
        <v>4</v>
      </c>
      <c r="H119">
        <v>11</v>
      </c>
    </row>
    <row r="120" spans="2:8" x14ac:dyDescent="0.25">
      <c r="B120" s="7"/>
      <c r="C120" s="1" t="s">
        <v>3</v>
      </c>
      <c r="D120">
        <v>2</v>
      </c>
      <c r="F120" s="7"/>
      <c r="G120" s="1" t="s">
        <v>6</v>
      </c>
      <c r="H120">
        <v>2</v>
      </c>
    </row>
    <row r="121" spans="2:8" x14ac:dyDescent="0.25">
      <c r="B121" s="7"/>
      <c r="C121" s="1" t="s">
        <v>4</v>
      </c>
      <c r="D121">
        <v>11</v>
      </c>
      <c r="F121" s="7" t="s">
        <v>41</v>
      </c>
      <c r="G121" s="1" t="s">
        <v>3</v>
      </c>
      <c r="H121">
        <v>1</v>
      </c>
    </row>
    <row r="122" spans="2:8" x14ac:dyDescent="0.25">
      <c r="B122" s="7"/>
      <c r="C122" s="1" t="s">
        <v>5</v>
      </c>
      <c r="D122">
        <v>5</v>
      </c>
      <c r="F122" s="7"/>
      <c r="G122" s="1" t="s">
        <v>4</v>
      </c>
      <c r="H122">
        <v>5</v>
      </c>
    </row>
    <row r="123" spans="2:8" x14ac:dyDescent="0.25">
      <c r="B123" s="7"/>
      <c r="C123" s="1" t="s">
        <v>7</v>
      </c>
      <c r="D123">
        <v>28</v>
      </c>
      <c r="F123" s="7" t="s">
        <v>42</v>
      </c>
      <c r="G123" s="1" t="s">
        <v>2</v>
      </c>
      <c r="H123">
        <v>2</v>
      </c>
    </row>
    <row r="124" spans="2:8" x14ac:dyDescent="0.25">
      <c r="B124" s="7"/>
      <c r="C124" s="1" t="s">
        <v>8</v>
      </c>
      <c r="D124">
        <v>16</v>
      </c>
      <c r="F124" s="7"/>
      <c r="G124" s="1" t="s">
        <v>3</v>
      </c>
      <c r="H124">
        <v>3</v>
      </c>
    </row>
    <row r="125" spans="2:8" x14ac:dyDescent="0.25">
      <c r="B125" s="1" t="s">
        <v>61</v>
      </c>
      <c r="C125" s="1" t="s">
        <v>7</v>
      </c>
      <c r="D125">
        <v>44</v>
      </c>
      <c r="F125" s="7"/>
      <c r="G125" s="1" t="s">
        <v>4</v>
      </c>
      <c r="H125">
        <v>29</v>
      </c>
    </row>
    <row r="126" spans="2:8" x14ac:dyDescent="0.25">
      <c r="B126" s="1" t="s">
        <v>63</v>
      </c>
      <c r="C126" s="1" t="s">
        <v>7</v>
      </c>
      <c r="D126">
        <v>44</v>
      </c>
      <c r="F126" s="7"/>
      <c r="G126" s="1" t="s">
        <v>5</v>
      </c>
      <c r="H126">
        <v>7</v>
      </c>
    </row>
    <row r="127" spans="2:8" x14ac:dyDescent="0.25">
      <c r="B127" s="7" t="s">
        <v>65</v>
      </c>
      <c r="C127" s="1" t="s">
        <v>2</v>
      </c>
      <c r="D127">
        <v>6</v>
      </c>
      <c r="F127" s="7"/>
      <c r="G127" s="1" t="s">
        <v>8</v>
      </c>
      <c r="H127">
        <v>13</v>
      </c>
    </row>
    <row r="128" spans="2:8" x14ac:dyDescent="0.25">
      <c r="B128" s="7"/>
      <c r="C128" s="1" t="s">
        <v>3</v>
      </c>
      <c r="D128">
        <v>2</v>
      </c>
      <c r="F128" s="7" t="s">
        <v>43</v>
      </c>
      <c r="G128" s="1" t="s">
        <v>2</v>
      </c>
      <c r="H128">
        <v>4</v>
      </c>
    </row>
    <row r="129" spans="2:8" x14ac:dyDescent="0.25">
      <c r="B129" s="7"/>
      <c r="C129" s="1" t="s">
        <v>4</v>
      </c>
      <c r="D129">
        <v>3</v>
      </c>
      <c r="F129" s="7"/>
      <c r="G129" s="1" t="s">
        <v>3</v>
      </c>
      <c r="H129">
        <v>2</v>
      </c>
    </row>
    <row r="130" spans="2:8" x14ac:dyDescent="0.25">
      <c r="B130" s="7"/>
      <c r="C130" s="1" t="s">
        <v>5</v>
      </c>
      <c r="D130">
        <v>3</v>
      </c>
      <c r="F130" s="7"/>
      <c r="G130" s="1" t="s">
        <v>5</v>
      </c>
      <c r="H130">
        <v>3</v>
      </c>
    </row>
    <row r="131" spans="2:8" x14ac:dyDescent="0.25">
      <c r="B131" s="7"/>
      <c r="C131" s="1" t="s">
        <v>7</v>
      </c>
      <c r="D131">
        <v>36</v>
      </c>
      <c r="F131" s="7"/>
      <c r="G131" s="1" t="s">
        <v>6</v>
      </c>
      <c r="H131">
        <v>2</v>
      </c>
    </row>
    <row r="132" spans="2:8" x14ac:dyDescent="0.25">
      <c r="B132" s="7"/>
      <c r="C132" s="1" t="s">
        <v>8</v>
      </c>
      <c r="D132">
        <v>10</v>
      </c>
      <c r="F132" s="7"/>
      <c r="G132" s="1" t="s">
        <v>8</v>
      </c>
      <c r="H132">
        <v>2</v>
      </c>
    </row>
    <row r="133" spans="2:8" x14ac:dyDescent="0.25">
      <c r="B133" s="1" t="s">
        <v>66</v>
      </c>
      <c r="C133" s="1" t="s">
        <v>2</v>
      </c>
      <c r="D133">
        <v>3</v>
      </c>
      <c r="F133" s="7" t="s">
        <v>44</v>
      </c>
      <c r="G133" s="1" t="s">
        <v>2</v>
      </c>
      <c r="H133">
        <v>9</v>
      </c>
    </row>
    <row r="134" spans="2:8" x14ac:dyDescent="0.25">
      <c r="B134" s="7" t="s">
        <v>67</v>
      </c>
      <c r="C134" s="1" t="s">
        <v>2</v>
      </c>
      <c r="D134">
        <v>5</v>
      </c>
      <c r="F134" s="7"/>
      <c r="G134" s="1" t="s">
        <v>3</v>
      </c>
      <c r="H134">
        <v>8</v>
      </c>
    </row>
    <row r="135" spans="2:8" x14ac:dyDescent="0.25">
      <c r="B135" s="7"/>
      <c r="C135" s="1" t="s">
        <v>3</v>
      </c>
      <c r="D135">
        <v>3</v>
      </c>
      <c r="F135" s="7"/>
      <c r="G135" s="1" t="s">
        <v>4</v>
      </c>
      <c r="H135">
        <v>8</v>
      </c>
    </row>
    <row r="136" spans="2:8" x14ac:dyDescent="0.25">
      <c r="B136" s="7"/>
      <c r="C136" s="1" t="s">
        <v>4</v>
      </c>
      <c r="D136">
        <v>1</v>
      </c>
      <c r="F136" s="7"/>
      <c r="G136" s="1" t="s">
        <v>5</v>
      </c>
      <c r="H136">
        <v>15</v>
      </c>
    </row>
    <row r="137" spans="2:8" x14ac:dyDescent="0.25">
      <c r="B137" s="7"/>
      <c r="C137" s="1" t="s">
        <v>5</v>
      </c>
      <c r="D137">
        <v>2</v>
      </c>
      <c r="F137" s="7"/>
      <c r="G137" s="1" t="s">
        <v>6</v>
      </c>
      <c r="H137">
        <v>9</v>
      </c>
    </row>
    <row r="138" spans="2:8" x14ac:dyDescent="0.25">
      <c r="B138" s="7"/>
      <c r="C138" s="1" t="s">
        <v>8</v>
      </c>
      <c r="D138">
        <v>7</v>
      </c>
      <c r="F138" s="7"/>
      <c r="G138" s="1" t="s">
        <v>7</v>
      </c>
      <c r="H138">
        <v>24</v>
      </c>
    </row>
    <row r="139" spans="2:8" x14ac:dyDescent="0.25">
      <c r="B139" s="7" t="s">
        <v>68</v>
      </c>
      <c r="C139" s="1" t="s">
        <v>2</v>
      </c>
      <c r="D139">
        <v>11</v>
      </c>
      <c r="F139" s="7"/>
      <c r="G139" s="1" t="s">
        <v>8</v>
      </c>
      <c r="H139">
        <v>4</v>
      </c>
    </row>
    <row r="140" spans="2:8" x14ac:dyDescent="0.25">
      <c r="B140" s="7"/>
      <c r="C140" s="1" t="s">
        <v>3</v>
      </c>
      <c r="D140">
        <v>5</v>
      </c>
      <c r="F140" s="7" t="s">
        <v>45</v>
      </c>
      <c r="G140" s="1" t="s">
        <v>2</v>
      </c>
      <c r="H140">
        <v>2</v>
      </c>
    </row>
    <row r="141" spans="2:8" x14ac:dyDescent="0.25">
      <c r="B141" s="7"/>
      <c r="C141" s="1" t="s">
        <v>4</v>
      </c>
      <c r="D141">
        <v>14</v>
      </c>
      <c r="F141" s="7"/>
      <c r="G141" s="1" t="s">
        <v>3</v>
      </c>
      <c r="H141">
        <v>3</v>
      </c>
    </row>
    <row r="142" spans="2:8" x14ac:dyDescent="0.25">
      <c r="B142" s="7"/>
      <c r="C142" s="1" t="s">
        <v>5</v>
      </c>
      <c r="D142">
        <v>4</v>
      </c>
      <c r="F142" s="7" t="s">
        <v>46</v>
      </c>
      <c r="G142" s="1" t="s">
        <v>3</v>
      </c>
      <c r="H142">
        <v>4</v>
      </c>
    </row>
    <row r="143" spans="2:8" x14ac:dyDescent="0.25">
      <c r="B143" s="7"/>
      <c r="C143" s="1" t="s">
        <v>7</v>
      </c>
      <c r="D143">
        <v>16</v>
      </c>
      <c r="F143" s="7"/>
      <c r="G143" s="1" t="s">
        <v>5</v>
      </c>
      <c r="H143">
        <v>5</v>
      </c>
    </row>
    <row r="144" spans="2:8" x14ac:dyDescent="0.25">
      <c r="B144" s="7"/>
      <c r="C144" s="1" t="s">
        <v>8</v>
      </c>
      <c r="D144">
        <v>5</v>
      </c>
      <c r="F144" s="7" t="s">
        <v>47</v>
      </c>
      <c r="G144" s="1" t="s">
        <v>2</v>
      </c>
      <c r="H144">
        <v>1</v>
      </c>
    </row>
    <row r="145" spans="2:8" x14ac:dyDescent="0.25">
      <c r="B145" s="7" t="s">
        <v>69</v>
      </c>
      <c r="C145" s="1" t="s">
        <v>2</v>
      </c>
      <c r="D145">
        <v>1</v>
      </c>
      <c r="F145" s="7"/>
      <c r="G145" s="1" t="s">
        <v>3</v>
      </c>
      <c r="H145">
        <v>6</v>
      </c>
    </row>
    <row r="146" spans="2:8" x14ac:dyDescent="0.25">
      <c r="B146" s="7"/>
      <c r="C146" s="1" t="s">
        <v>4</v>
      </c>
      <c r="D146">
        <v>10</v>
      </c>
      <c r="F146" s="7"/>
      <c r="G146" s="1" t="s">
        <v>4</v>
      </c>
      <c r="H146">
        <v>21</v>
      </c>
    </row>
    <row r="147" spans="2:8" x14ac:dyDescent="0.25">
      <c r="B147" s="7"/>
      <c r="C147" s="1" t="s">
        <v>7</v>
      </c>
      <c r="D147">
        <v>60</v>
      </c>
      <c r="F147" s="7"/>
      <c r="G147" s="1" t="s">
        <v>5</v>
      </c>
      <c r="H147">
        <v>3</v>
      </c>
    </row>
    <row r="148" spans="2:8" x14ac:dyDescent="0.25">
      <c r="B148" s="7" t="s">
        <v>73</v>
      </c>
      <c r="C148" s="1" t="s">
        <v>4</v>
      </c>
      <c r="D148">
        <v>18</v>
      </c>
      <c r="F148" s="7"/>
      <c r="G148" s="1" t="s">
        <v>8</v>
      </c>
      <c r="H148">
        <v>1</v>
      </c>
    </row>
    <row r="149" spans="2:8" x14ac:dyDescent="0.25">
      <c r="B149" s="7"/>
      <c r="C149" s="1" t="s">
        <v>7</v>
      </c>
      <c r="D149">
        <v>48</v>
      </c>
      <c r="F149" s="1" t="s">
        <v>48</v>
      </c>
      <c r="G149" s="1" t="s">
        <v>2</v>
      </c>
      <c r="H149">
        <v>3</v>
      </c>
    </row>
    <row r="150" spans="2:8" x14ac:dyDescent="0.25">
      <c r="B150" s="1" t="s">
        <v>75</v>
      </c>
      <c r="C150" s="1" t="s">
        <v>8</v>
      </c>
      <c r="D150">
        <v>1</v>
      </c>
      <c r="F150" s="7" t="s">
        <v>49</v>
      </c>
      <c r="G150" s="1" t="s">
        <v>3</v>
      </c>
      <c r="H150">
        <v>1</v>
      </c>
    </row>
    <row r="151" spans="2:8" x14ac:dyDescent="0.25">
      <c r="B151" s="7" t="s">
        <v>76</v>
      </c>
      <c r="C151" s="1" t="s">
        <v>2</v>
      </c>
      <c r="D151">
        <v>2</v>
      </c>
      <c r="F151" s="7"/>
      <c r="G151" s="1" t="s">
        <v>7</v>
      </c>
      <c r="H151">
        <v>152</v>
      </c>
    </row>
    <row r="152" spans="2:8" x14ac:dyDescent="0.25">
      <c r="B152" s="7"/>
      <c r="C152" s="1" t="s">
        <v>3</v>
      </c>
      <c r="D152">
        <v>1</v>
      </c>
      <c r="F152" s="7" t="s">
        <v>50</v>
      </c>
      <c r="G152" s="1" t="s">
        <v>2</v>
      </c>
      <c r="H152">
        <v>3</v>
      </c>
    </row>
    <row r="153" spans="2:8" x14ac:dyDescent="0.25">
      <c r="B153" s="7"/>
      <c r="C153" s="1" t="s">
        <v>4</v>
      </c>
      <c r="D153">
        <v>1</v>
      </c>
      <c r="F153" s="7"/>
      <c r="G153" s="1" t="s">
        <v>5</v>
      </c>
      <c r="H153">
        <v>1</v>
      </c>
    </row>
    <row r="154" spans="2:8" x14ac:dyDescent="0.25">
      <c r="B154" s="7"/>
      <c r="C154" s="1" t="s">
        <v>8</v>
      </c>
      <c r="D154">
        <v>2</v>
      </c>
      <c r="F154" s="7"/>
      <c r="G154" s="1" t="s">
        <v>7</v>
      </c>
      <c r="H154">
        <v>516</v>
      </c>
    </row>
    <row r="155" spans="2:8" x14ac:dyDescent="0.25">
      <c r="B155" s="7" t="s">
        <v>77</v>
      </c>
      <c r="C155" s="1" t="s">
        <v>2</v>
      </c>
      <c r="D155">
        <v>9</v>
      </c>
      <c r="F155" s="7" t="s">
        <v>51</v>
      </c>
      <c r="G155" s="1" t="s">
        <v>3</v>
      </c>
      <c r="H155">
        <v>1</v>
      </c>
    </row>
    <row r="156" spans="2:8" x14ac:dyDescent="0.25">
      <c r="B156" s="7"/>
      <c r="C156" s="1" t="s">
        <v>3</v>
      </c>
      <c r="D156">
        <v>3</v>
      </c>
      <c r="F156" s="7"/>
      <c r="G156" s="1" t="s">
        <v>4</v>
      </c>
      <c r="H156">
        <v>1</v>
      </c>
    </row>
    <row r="157" spans="2:8" x14ac:dyDescent="0.25">
      <c r="B157" s="7"/>
      <c r="C157" s="1" t="s">
        <v>4</v>
      </c>
      <c r="D157">
        <v>5</v>
      </c>
      <c r="F157" s="1" t="s">
        <v>52</v>
      </c>
      <c r="G157" s="1" t="s">
        <v>3</v>
      </c>
      <c r="H157">
        <v>1</v>
      </c>
    </row>
    <row r="158" spans="2:8" x14ac:dyDescent="0.25">
      <c r="B158" s="7"/>
      <c r="C158" s="1" t="s">
        <v>5</v>
      </c>
      <c r="D158">
        <v>1</v>
      </c>
      <c r="F158" s="7" t="s">
        <v>53</v>
      </c>
      <c r="G158" s="1" t="s">
        <v>3</v>
      </c>
      <c r="H158">
        <v>1</v>
      </c>
    </row>
    <row r="159" spans="2:8" x14ac:dyDescent="0.25">
      <c r="B159" s="7"/>
      <c r="C159" s="1" t="s">
        <v>7</v>
      </c>
      <c r="D159">
        <v>44</v>
      </c>
      <c r="F159" s="7"/>
      <c r="G159" s="1" t="s">
        <v>6</v>
      </c>
      <c r="H159">
        <v>4</v>
      </c>
    </row>
    <row r="160" spans="2:8" x14ac:dyDescent="0.25">
      <c r="B160" s="7"/>
      <c r="C160" s="1" t="s">
        <v>8</v>
      </c>
      <c r="D160">
        <v>1</v>
      </c>
      <c r="F160" s="7" t="s">
        <v>54</v>
      </c>
      <c r="G160" s="1" t="s">
        <v>5</v>
      </c>
      <c r="H160">
        <v>1</v>
      </c>
    </row>
    <row r="161" spans="2:8" x14ac:dyDescent="0.25">
      <c r="B161" s="7" t="s">
        <v>78</v>
      </c>
      <c r="C161" s="1" t="s">
        <v>2</v>
      </c>
      <c r="D161">
        <v>1</v>
      </c>
      <c r="F161" s="7"/>
      <c r="G161" s="1" t="s">
        <v>6</v>
      </c>
      <c r="H161">
        <v>4</v>
      </c>
    </row>
    <row r="162" spans="2:8" x14ac:dyDescent="0.25">
      <c r="B162" s="7"/>
      <c r="C162" s="1" t="s">
        <v>8</v>
      </c>
      <c r="D162">
        <v>3</v>
      </c>
      <c r="F162" s="1" t="s">
        <v>55</v>
      </c>
      <c r="G162" s="1" t="s">
        <v>6</v>
      </c>
      <c r="H162">
        <v>8</v>
      </c>
    </row>
    <row r="163" spans="2:8" x14ac:dyDescent="0.25">
      <c r="B163" s="7" t="s">
        <v>80</v>
      </c>
      <c r="C163" s="1" t="s">
        <v>2</v>
      </c>
      <c r="D163">
        <v>5</v>
      </c>
      <c r="F163" s="1" t="s">
        <v>56</v>
      </c>
      <c r="G163" s="1" t="s">
        <v>6</v>
      </c>
      <c r="H163">
        <v>2</v>
      </c>
    </row>
    <row r="164" spans="2:8" x14ac:dyDescent="0.25">
      <c r="B164" s="7"/>
      <c r="C164" s="1" t="s">
        <v>3</v>
      </c>
      <c r="D164">
        <v>3</v>
      </c>
      <c r="F164" s="7" t="s">
        <v>57</v>
      </c>
      <c r="G164" s="1" t="s">
        <v>2</v>
      </c>
      <c r="H164">
        <v>15</v>
      </c>
    </row>
    <row r="165" spans="2:8" x14ac:dyDescent="0.25">
      <c r="B165" s="7"/>
      <c r="C165" s="1" t="s">
        <v>4</v>
      </c>
      <c r="D165">
        <v>6</v>
      </c>
      <c r="F165" s="7"/>
      <c r="G165" s="1" t="s">
        <v>3</v>
      </c>
      <c r="H165">
        <v>20</v>
      </c>
    </row>
    <row r="166" spans="2:8" x14ac:dyDescent="0.25">
      <c r="B166" s="7"/>
      <c r="C166" s="1" t="s">
        <v>5</v>
      </c>
      <c r="D166">
        <v>1</v>
      </c>
      <c r="F166" s="7"/>
      <c r="G166" s="1" t="s">
        <v>4</v>
      </c>
      <c r="H166">
        <v>206</v>
      </c>
    </row>
    <row r="167" spans="2:8" x14ac:dyDescent="0.25">
      <c r="B167" s="7"/>
      <c r="C167" s="1" t="s">
        <v>8</v>
      </c>
      <c r="D167">
        <v>2</v>
      </c>
      <c r="F167" s="7"/>
      <c r="G167" s="1" t="s">
        <v>5</v>
      </c>
      <c r="H167">
        <v>72</v>
      </c>
    </row>
    <row r="168" spans="2:8" x14ac:dyDescent="0.25">
      <c r="B168" s="7" t="s">
        <v>81</v>
      </c>
      <c r="C168" s="1" t="s">
        <v>2</v>
      </c>
      <c r="D168">
        <v>5</v>
      </c>
      <c r="F168" s="7"/>
      <c r="G168" s="1" t="s">
        <v>6</v>
      </c>
      <c r="H168">
        <v>3</v>
      </c>
    </row>
    <row r="169" spans="2:8" x14ac:dyDescent="0.25">
      <c r="B169" s="7"/>
      <c r="C169" s="1" t="s">
        <v>3</v>
      </c>
      <c r="D169">
        <v>1</v>
      </c>
      <c r="F169" s="7"/>
      <c r="G169" s="1" t="s">
        <v>7</v>
      </c>
      <c r="H169">
        <v>4</v>
      </c>
    </row>
    <row r="170" spans="2:8" x14ac:dyDescent="0.25">
      <c r="B170" s="7"/>
      <c r="C170" s="1" t="s">
        <v>4</v>
      </c>
      <c r="D170">
        <v>4</v>
      </c>
      <c r="F170" s="7"/>
      <c r="G170" s="1" t="s">
        <v>8</v>
      </c>
      <c r="H170">
        <v>6</v>
      </c>
    </row>
    <row r="171" spans="2:8" x14ac:dyDescent="0.25">
      <c r="B171" s="7"/>
      <c r="C171" s="1" t="s">
        <v>5</v>
      </c>
      <c r="D171">
        <v>3</v>
      </c>
      <c r="F171" s="7" t="s">
        <v>58</v>
      </c>
      <c r="G171" s="1" t="s">
        <v>2</v>
      </c>
      <c r="H171">
        <v>21</v>
      </c>
    </row>
    <row r="172" spans="2:8" x14ac:dyDescent="0.25">
      <c r="B172" s="7"/>
      <c r="C172" s="1" t="s">
        <v>6</v>
      </c>
      <c r="D172">
        <v>1</v>
      </c>
      <c r="F172" s="7"/>
      <c r="G172" s="1" t="s">
        <v>3</v>
      </c>
      <c r="H172">
        <v>3</v>
      </c>
    </row>
    <row r="173" spans="2:8" x14ac:dyDescent="0.25">
      <c r="B173" s="7" t="s">
        <v>82</v>
      </c>
      <c r="C173" s="1" t="s">
        <v>2</v>
      </c>
      <c r="D173">
        <v>1</v>
      </c>
      <c r="F173" s="7"/>
      <c r="G173" s="1" t="s">
        <v>4</v>
      </c>
      <c r="H173">
        <v>6</v>
      </c>
    </row>
    <row r="174" spans="2:8" x14ac:dyDescent="0.25">
      <c r="B174" s="7"/>
      <c r="C174" s="1" t="s">
        <v>3</v>
      </c>
      <c r="D174">
        <v>3</v>
      </c>
      <c r="F174" s="7"/>
      <c r="G174" s="1" t="s">
        <v>5</v>
      </c>
      <c r="H174">
        <v>3</v>
      </c>
    </row>
    <row r="175" spans="2:8" x14ac:dyDescent="0.25">
      <c r="B175" s="7"/>
      <c r="C175" s="1" t="s">
        <v>4</v>
      </c>
      <c r="D175">
        <v>2</v>
      </c>
      <c r="F175" s="7"/>
      <c r="G175" s="1" t="s">
        <v>6</v>
      </c>
      <c r="H175">
        <v>1</v>
      </c>
    </row>
    <row r="176" spans="2:8" x14ac:dyDescent="0.25">
      <c r="B176" s="7"/>
      <c r="C176" s="1" t="s">
        <v>5</v>
      </c>
      <c r="D176">
        <v>2</v>
      </c>
      <c r="F176" s="7"/>
      <c r="G176" s="1" t="s">
        <v>8</v>
      </c>
      <c r="H176">
        <v>12</v>
      </c>
    </row>
    <row r="177" spans="2:8" x14ac:dyDescent="0.25">
      <c r="B177" s="7"/>
      <c r="C177" s="1" t="s">
        <v>8</v>
      </c>
      <c r="D177">
        <v>3</v>
      </c>
      <c r="F177" s="7" t="s">
        <v>59</v>
      </c>
      <c r="G177" s="1" t="s">
        <v>2</v>
      </c>
      <c r="H177">
        <v>10</v>
      </c>
    </row>
    <row r="178" spans="2:8" x14ac:dyDescent="0.25">
      <c r="F178" s="7"/>
      <c r="G178" s="1" t="s">
        <v>3</v>
      </c>
      <c r="H178">
        <v>10</v>
      </c>
    </row>
    <row r="179" spans="2:8" x14ac:dyDescent="0.25">
      <c r="F179" s="7"/>
      <c r="G179" s="1" t="s">
        <v>4</v>
      </c>
      <c r="H179">
        <v>2</v>
      </c>
    </row>
    <row r="180" spans="2:8" x14ac:dyDescent="0.25">
      <c r="F180" s="7"/>
      <c r="G180" s="1" t="s">
        <v>5</v>
      </c>
      <c r="H180">
        <v>3</v>
      </c>
    </row>
    <row r="181" spans="2:8" x14ac:dyDescent="0.25">
      <c r="F181" s="7"/>
      <c r="G181" s="1" t="s">
        <v>6</v>
      </c>
      <c r="H181">
        <v>4</v>
      </c>
    </row>
    <row r="182" spans="2:8" x14ac:dyDescent="0.25">
      <c r="F182" s="7"/>
      <c r="G182" s="1" t="s">
        <v>7</v>
      </c>
      <c r="H182">
        <v>12</v>
      </c>
    </row>
    <row r="183" spans="2:8" x14ac:dyDescent="0.25">
      <c r="F183" s="7"/>
      <c r="G183" s="1" t="s">
        <v>8</v>
      </c>
      <c r="H183">
        <v>5</v>
      </c>
    </row>
    <row r="184" spans="2:8" x14ac:dyDescent="0.25">
      <c r="F184" s="7" t="s">
        <v>60</v>
      </c>
      <c r="G184" s="1" t="s">
        <v>2</v>
      </c>
      <c r="H184">
        <v>29</v>
      </c>
    </row>
    <row r="185" spans="2:8" x14ac:dyDescent="0.25">
      <c r="F185" s="7"/>
      <c r="G185" s="1" t="s">
        <v>3</v>
      </c>
      <c r="H185">
        <v>20</v>
      </c>
    </row>
    <row r="186" spans="2:8" x14ac:dyDescent="0.25">
      <c r="F186" s="7"/>
      <c r="G186" s="1" t="s">
        <v>4</v>
      </c>
      <c r="H186">
        <v>32</v>
      </c>
    </row>
    <row r="187" spans="2:8" x14ac:dyDescent="0.25">
      <c r="F187" s="7"/>
      <c r="G187" s="1" t="s">
        <v>5</v>
      </c>
      <c r="H187">
        <v>69</v>
      </c>
    </row>
    <row r="188" spans="2:8" x14ac:dyDescent="0.25">
      <c r="F188" s="7"/>
      <c r="G188" s="1" t="s">
        <v>6</v>
      </c>
      <c r="H188">
        <v>1</v>
      </c>
    </row>
    <row r="189" spans="2:8" x14ac:dyDescent="0.25">
      <c r="F189" s="7"/>
      <c r="G189" s="1" t="s">
        <v>8</v>
      </c>
      <c r="H189">
        <v>19</v>
      </c>
    </row>
    <row r="190" spans="2:8" x14ac:dyDescent="0.25">
      <c r="F190" s="7" t="s">
        <v>61</v>
      </c>
      <c r="G190" s="1" t="s">
        <v>2</v>
      </c>
      <c r="H190">
        <v>2</v>
      </c>
    </row>
    <row r="191" spans="2:8" x14ac:dyDescent="0.25">
      <c r="F191" s="7"/>
      <c r="G191" s="1" t="s">
        <v>5</v>
      </c>
      <c r="H191">
        <v>1</v>
      </c>
    </row>
    <row r="192" spans="2:8" x14ac:dyDescent="0.25">
      <c r="F192" s="7"/>
      <c r="G192" s="1" t="s">
        <v>6</v>
      </c>
      <c r="H192">
        <v>2</v>
      </c>
    </row>
    <row r="193" spans="6:8" x14ac:dyDescent="0.25">
      <c r="F193" s="7"/>
      <c r="G193" s="1" t="s">
        <v>7</v>
      </c>
      <c r="H193">
        <v>4</v>
      </c>
    </row>
    <row r="194" spans="6:8" x14ac:dyDescent="0.25">
      <c r="F194" s="1" t="s">
        <v>62</v>
      </c>
      <c r="G194" s="1" t="s">
        <v>6</v>
      </c>
      <c r="H194">
        <v>2</v>
      </c>
    </row>
    <row r="195" spans="6:8" x14ac:dyDescent="0.25">
      <c r="F195" s="7" t="s">
        <v>63</v>
      </c>
      <c r="G195" s="1" t="s">
        <v>2</v>
      </c>
      <c r="H195">
        <v>2</v>
      </c>
    </row>
    <row r="196" spans="6:8" x14ac:dyDescent="0.25">
      <c r="F196" s="7"/>
      <c r="G196" s="1" t="s">
        <v>5</v>
      </c>
      <c r="H196">
        <v>1</v>
      </c>
    </row>
    <row r="197" spans="6:8" x14ac:dyDescent="0.25">
      <c r="F197" s="7"/>
      <c r="G197" s="1" t="s">
        <v>6</v>
      </c>
      <c r="H197">
        <v>1</v>
      </c>
    </row>
    <row r="198" spans="6:8" x14ac:dyDescent="0.25">
      <c r="F198" s="7"/>
      <c r="G198" s="1" t="s">
        <v>7</v>
      </c>
      <c r="H198">
        <v>4</v>
      </c>
    </row>
    <row r="199" spans="6:8" x14ac:dyDescent="0.25">
      <c r="F199" s="7" t="s">
        <v>64</v>
      </c>
      <c r="G199" s="1" t="s">
        <v>5</v>
      </c>
      <c r="H199">
        <v>2</v>
      </c>
    </row>
    <row r="200" spans="6:8" x14ac:dyDescent="0.25">
      <c r="F200" s="7"/>
      <c r="G200" s="1" t="s">
        <v>6</v>
      </c>
      <c r="H200">
        <v>2</v>
      </c>
    </row>
    <row r="201" spans="6:8" x14ac:dyDescent="0.25">
      <c r="F201" s="7" t="s">
        <v>65</v>
      </c>
      <c r="G201" s="1" t="s">
        <v>2</v>
      </c>
      <c r="H201">
        <v>23</v>
      </c>
    </row>
    <row r="202" spans="6:8" x14ac:dyDescent="0.25">
      <c r="F202" s="7"/>
      <c r="G202" s="1" t="s">
        <v>3</v>
      </c>
      <c r="H202">
        <v>1</v>
      </c>
    </row>
    <row r="203" spans="6:8" x14ac:dyDescent="0.25">
      <c r="F203" s="7"/>
      <c r="G203" s="1" t="s">
        <v>4</v>
      </c>
      <c r="H203">
        <v>2</v>
      </c>
    </row>
    <row r="204" spans="6:8" x14ac:dyDescent="0.25">
      <c r="F204" s="7"/>
      <c r="G204" s="1" t="s">
        <v>5</v>
      </c>
      <c r="H204">
        <v>23</v>
      </c>
    </row>
    <row r="205" spans="6:8" x14ac:dyDescent="0.25">
      <c r="F205" s="7"/>
      <c r="G205" s="1" t="s">
        <v>6</v>
      </c>
      <c r="H205">
        <v>1</v>
      </c>
    </row>
    <row r="206" spans="6:8" x14ac:dyDescent="0.25">
      <c r="F206" s="7"/>
      <c r="G206" s="1" t="s">
        <v>7</v>
      </c>
      <c r="H206">
        <v>36</v>
      </c>
    </row>
    <row r="207" spans="6:8" x14ac:dyDescent="0.25">
      <c r="F207" s="7"/>
      <c r="G207" s="1" t="s">
        <v>8</v>
      </c>
      <c r="H207">
        <v>18</v>
      </c>
    </row>
    <row r="208" spans="6:8" x14ac:dyDescent="0.25">
      <c r="F208" s="7" t="s">
        <v>66</v>
      </c>
      <c r="G208" s="1" t="s">
        <v>2</v>
      </c>
      <c r="H208">
        <v>3</v>
      </c>
    </row>
    <row r="209" spans="6:8" x14ac:dyDescent="0.25">
      <c r="F209" s="7"/>
      <c r="G209" s="1" t="s">
        <v>3</v>
      </c>
      <c r="H209">
        <v>5</v>
      </c>
    </row>
    <row r="210" spans="6:8" x14ac:dyDescent="0.25">
      <c r="F210" s="7"/>
      <c r="G210" s="1" t="s">
        <v>8</v>
      </c>
      <c r="H210">
        <v>1</v>
      </c>
    </row>
    <row r="211" spans="6:8" x14ac:dyDescent="0.25">
      <c r="F211" s="7" t="s">
        <v>67</v>
      </c>
      <c r="G211" s="1" t="s">
        <v>2</v>
      </c>
      <c r="H211">
        <v>11</v>
      </c>
    </row>
    <row r="212" spans="6:8" x14ac:dyDescent="0.25">
      <c r="F212" s="7"/>
      <c r="G212" s="1" t="s">
        <v>3</v>
      </c>
      <c r="H212">
        <v>26</v>
      </c>
    </row>
    <row r="213" spans="6:8" x14ac:dyDescent="0.25">
      <c r="F213" s="7"/>
      <c r="G213" s="1" t="s">
        <v>5</v>
      </c>
      <c r="H213">
        <v>11</v>
      </c>
    </row>
    <row r="214" spans="6:8" x14ac:dyDescent="0.25">
      <c r="F214" s="7"/>
      <c r="G214" s="1" t="s">
        <v>8</v>
      </c>
      <c r="H214">
        <v>5</v>
      </c>
    </row>
    <row r="215" spans="6:8" x14ac:dyDescent="0.25">
      <c r="F215" s="7" t="s">
        <v>68</v>
      </c>
      <c r="G215" s="1" t="s">
        <v>2</v>
      </c>
      <c r="H215">
        <v>12</v>
      </c>
    </row>
    <row r="216" spans="6:8" x14ac:dyDescent="0.25">
      <c r="F216" s="7"/>
      <c r="G216" s="1" t="s">
        <v>3</v>
      </c>
      <c r="H216">
        <v>16</v>
      </c>
    </row>
    <row r="217" spans="6:8" x14ac:dyDescent="0.25">
      <c r="F217" s="7"/>
      <c r="G217" s="1" t="s">
        <v>4</v>
      </c>
      <c r="H217">
        <v>7</v>
      </c>
    </row>
    <row r="218" spans="6:8" x14ac:dyDescent="0.25">
      <c r="F218" s="7"/>
      <c r="G218" s="1" t="s">
        <v>5</v>
      </c>
      <c r="H218">
        <v>14</v>
      </c>
    </row>
    <row r="219" spans="6:8" x14ac:dyDescent="0.25">
      <c r="F219" s="7"/>
      <c r="G219" s="1" t="s">
        <v>7</v>
      </c>
      <c r="H219">
        <v>24</v>
      </c>
    </row>
    <row r="220" spans="6:8" x14ac:dyDescent="0.25">
      <c r="F220" s="7"/>
      <c r="G220" s="1" t="s">
        <v>8</v>
      </c>
      <c r="H220">
        <v>12</v>
      </c>
    </row>
    <row r="221" spans="6:8" x14ac:dyDescent="0.25">
      <c r="F221" s="7" t="s">
        <v>69</v>
      </c>
      <c r="G221" s="1" t="s">
        <v>2</v>
      </c>
      <c r="H221">
        <v>6</v>
      </c>
    </row>
    <row r="222" spans="6:8" x14ac:dyDescent="0.25">
      <c r="F222" s="7"/>
      <c r="G222" s="1" t="s">
        <v>3</v>
      </c>
      <c r="H222">
        <v>37</v>
      </c>
    </row>
    <row r="223" spans="6:8" x14ac:dyDescent="0.25">
      <c r="F223" s="7"/>
      <c r="G223" s="1" t="s">
        <v>4</v>
      </c>
      <c r="H223">
        <v>90</v>
      </c>
    </row>
    <row r="224" spans="6:8" x14ac:dyDescent="0.25">
      <c r="F224" s="7"/>
      <c r="G224" s="1" t="s">
        <v>5</v>
      </c>
      <c r="H224">
        <v>19</v>
      </c>
    </row>
    <row r="225" spans="6:8" x14ac:dyDescent="0.25">
      <c r="F225" s="7"/>
      <c r="G225" s="1" t="s">
        <v>6</v>
      </c>
      <c r="H225">
        <v>12</v>
      </c>
    </row>
    <row r="226" spans="6:8" x14ac:dyDescent="0.25">
      <c r="F226" s="7"/>
      <c r="G226" s="1" t="s">
        <v>7</v>
      </c>
      <c r="H226">
        <v>268</v>
      </c>
    </row>
    <row r="227" spans="6:8" x14ac:dyDescent="0.25">
      <c r="F227" s="7"/>
      <c r="G227" s="1" t="s">
        <v>8</v>
      </c>
      <c r="H227">
        <v>1</v>
      </c>
    </row>
    <row r="228" spans="6:8" x14ac:dyDescent="0.25">
      <c r="F228" s="1" t="s">
        <v>70</v>
      </c>
      <c r="G228" s="1" t="s">
        <v>8</v>
      </c>
      <c r="H228">
        <v>1</v>
      </c>
    </row>
    <row r="229" spans="6:8" x14ac:dyDescent="0.25">
      <c r="F229" s="7" t="s">
        <v>71</v>
      </c>
      <c r="G229" s="1" t="s">
        <v>2</v>
      </c>
      <c r="H229">
        <v>4</v>
      </c>
    </row>
    <row r="230" spans="6:8" x14ac:dyDescent="0.25">
      <c r="F230" s="7"/>
      <c r="G230" s="1" t="s">
        <v>4</v>
      </c>
      <c r="H230">
        <v>6</v>
      </c>
    </row>
    <row r="231" spans="6:8" x14ac:dyDescent="0.25">
      <c r="F231" s="7"/>
      <c r="G231" s="1" t="s">
        <v>5</v>
      </c>
      <c r="H231">
        <v>7</v>
      </c>
    </row>
    <row r="232" spans="6:8" x14ac:dyDescent="0.25">
      <c r="F232" s="7"/>
      <c r="G232" s="1" t="s">
        <v>8</v>
      </c>
      <c r="H232">
        <v>1</v>
      </c>
    </row>
    <row r="233" spans="6:8" x14ac:dyDescent="0.25">
      <c r="F233" s="1" t="s">
        <v>72</v>
      </c>
      <c r="G233" s="1" t="s">
        <v>4</v>
      </c>
      <c r="H233">
        <v>1</v>
      </c>
    </row>
    <row r="234" spans="6:8" x14ac:dyDescent="0.25">
      <c r="F234" s="7" t="s">
        <v>73</v>
      </c>
      <c r="G234" s="1" t="s">
        <v>3</v>
      </c>
      <c r="H234">
        <v>1</v>
      </c>
    </row>
    <row r="235" spans="6:8" x14ac:dyDescent="0.25">
      <c r="F235" s="7"/>
      <c r="G235" s="1" t="s">
        <v>4</v>
      </c>
      <c r="H235">
        <v>57</v>
      </c>
    </row>
    <row r="236" spans="6:8" x14ac:dyDescent="0.25">
      <c r="F236" s="7"/>
      <c r="G236" s="1" t="s">
        <v>5</v>
      </c>
      <c r="H236">
        <v>1</v>
      </c>
    </row>
    <row r="237" spans="6:8" x14ac:dyDescent="0.25">
      <c r="F237" s="7"/>
      <c r="G237" s="1" t="s">
        <v>6</v>
      </c>
      <c r="H237">
        <v>2</v>
      </c>
    </row>
    <row r="238" spans="6:8" x14ac:dyDescent="0.25">
      <c r="F238" s="7"/>
      <c r="G238" s="1" t="s">
        <v>7</v>
      </c>
      <c r="H238">
        <v>220</v>
      </c>
    </row>
    <row r="239" spans="6:8" x14ac:dyDescent="0.25">
      <c r="F239" s="1" t="s">
        <v>74</v>
      </c>
      <c r="G239" s="1" t="s">
        <v>4</v>
      </c>
      <c r="H239">
        <v>7</v>
      </c>
    </row>
    <row r="240" spans="6:8" x14ac:dyDescent="0.25">
      <c r="F240" s="7" t="s">
        <v>75</v>
      </c>
      <c r="G240" s="1" t="s">
        <v>4</v>
      </c>
      <c r="H240">
        <v>9</v>
      </c>
    </row>
    <row r="241" spans="6:8" x14ac:dyDescent="0.25">
      <c r="F241" s="7"/>
      <c r="G241" s="1" t="s">
        <v>5</v>
      </c>
      <c r="H241">
        <v>1</v>
      </c>
    </row>
    <row r="242" spans="6:8" x14ac:dyDescent="0.25">
      <c r="F242" s="7"/>
      <c r="G242" s="1" t="s">
        <v>6</v>
      </c>
      <c r="H242">
        <v>1</v>
      </c>
    </row>
    <row r="243" spans="6:8" x14ac:dyDescent="0.25">
      <c r="F243" s="7"/>
      <c r="G243" s="1" t="s">
        <v>7</v>
      </c>
      <c r="H243">
        <v>12</v>
      </c>
    </row>
    <row r="244" spans="6:8" x14ac:dyDescent="0.25">
      <c r="F244" s="7" t="s">
        <v>76</v>
      </c>
      <c r="G244" s="1" t="s">
        <v>2</v>
      </c>
      <c r="H244">
        <v>7</v>
      </c>
    </row>
    <row r="245" spans="6:8" x14ac:dyDescent="0.25">
      <c r="F245" s="7"/>
      <c r="G245" s="1" t="s">
        <v>3</v>
      </c>
      <c r="H245">
        <v>7</v>
      </c>
    </row>
    <row r="246" spans="6:8" x14ac:dyDescent="0.25">
      <c r="F246" s="7"/>
      <c r="G246" s="1" t="s">
        <v>4</v>
      </c>
      <c r="H246">
        <v>3</v>
      </c>
    </row>
    <row r="247" spans="6:8" x14ac:dyDescent="0.25">
      <c r="F247" s="7"/>
      <c r="G247" s="1" t="s">
        <v>5</v>
      </c>
      <c r="H247">
        <v>3</v>
      </c>
    </row>
    <row r="248" spans="6:8" x14ac:dyDescent="0.25">
      <c r="F248" s="7"/>
      <c r="G248" s="1" t="s">
        <v>8</v>
      </c>
      <c r="H248">
        <v>17</v>
      </c>
    </row>
    <row r="249" spans="6:8" x14ac:dyDescent="0.25">
      <c r="F249" s="7" t="s">
        <v>77</v>
      </c>
      <c r="G249" s="1" t="s">
        <v>2</v>
      </c>
      <c r="H249">
        <v>17</v>
      </c>
    </row>
    <row r="250" spans="6:8" x14ac:dyDescent="0.25">
      <c r="F250" s="7"/>
      <c r="G250" s="1" t="s">
        <v>3</v>
      </c>
      <c r="H250">
        <v>30</v>
      </c>
    </row>
    <row r="251" spans="6:8" x14ac:dyDescent="0.25">
      <c r="F251" s="7"/>
      <c r="G251" s="1" t="s">
        <v>4</v>
      </c>
      <c r="H251">
        <v>9</v>
      </c>
    </row>
    <row r="252" spans="6:8" x14ac:dyDescent="0.25">
      <c r="F252" s="7"/>
      <c r="G252" s="1" t="s">
        <v>5</v>
      </c>
      <c r="H252">
        <v>24</v>
      </c>
    </row>
    <row r="253" spans="6:8" x14ac:dyDescent="0.25">
      <c r="F253" s="7"/>
      <c r="G253" s="1" t="s">
        <v>8</v>
      </c>
      <c r="H253">
        <v>15</v>
      </c>
    </row>
    <row r="254" spans="6:8" x14ac:dyDescent="0.25">
      <c r="F254" s="7" t="s">
        <v>78</v>
      </c>
      <c r="G254" s="1" t="s">
        <v>3</v>
      </c>
      <c r="H254">
        <v>1</v>
      </c>
    </row>
    <row r="255" spans="6:8" x14ac:dyDescent="0.25">
      <c r="F255" s="7"/>
      <c r="G255" s="1" t="s">
        <v>5</v>
      </c>
      <c r="H255">
        <v>1</v>
      </c>
    </row>
    <row r="256" spans="6:8" x14ac:dyDescent="0.25">
      <c r="F256" s="7"/>
      <c r="G256" s="1" t="s">
        <v>8</v>
      </c>
      <c r="H256">
        <v>4</v>
      </c>
    </row>
    <row r="257" spans="6:8" x14ac:dyDescent="0.25">
      <c r="F257" s="7" t="s">
        <v>79</v>
      </c>
      <c r="G257" s="1" t="s">
        <v>2</v>
      </c>
      <c r="H257">
        <v>2</v>
      </c>
    </row>
    <row r="258" spans="6:8" x14ac:dyDescent="0.25">
      <c r="F258" s="7"/>
      <c r="G258" s="1" t="s">
        <v>3</v>
      </c>
      <c r="H258">
        <v>1</v>
      </c>
    </row>
    <row r="259" spans="6:8" x14ac:dyDescent="0.25">
      <c r="F259" s="7"/>
      <c r="G259" s="1" t="s">
        <v>4</v>
      </c>
      <c r="H259">
        <v>28</v>
      </c>
    </row>
    <row r="260" spans="6:8" x14ac:dyDescent="0.25">
      <c r="F260" s="7" t="s">
        <v>80</v>
      </c>
      <c r="G260" s="1" t="s">
        <v>2</v>
      </c>
      <c r="H260">
        <v>5</v>
      </c>
    </row>
    <row r="261" spans="6:8" x14ac:dyDescent="0.25">
      <c r="F261" s="7"/>
      <c r="G261" s="1" t="s">
        <v>3</v>
      </c>
      <c r="H261">
        <v>5</v>
      </c>
    </row>
    <row r="262" spans="6:8" x14ac:dyDescent="0.25">
      <c r="F262" s="7"/>
      <c r="G262" s="1" t="s">
        <v>4</v>
      </c>
      <c r="H262">
        <v>19</v>
      </c>
    </row>
    <row r="263" spans="6:8" x14ac:dyDescent="0.25">
      <c r="F263" s="7"/>
      <c r="G263" s="1" t="s">
        <v>5</v>
      </c>
      <c r="H263">
        <v>32</v>
      </c>
    </row>
    <row r="264" spans="6:8" x14ac:dyDescent="0.25">
      <c r="F264" s="7"/>
      <c r="G264" s="1" t="s">
        <v>7</v>
      </c>
      <c r="H264">
        <v>4</v>
      </c>
    </row>
    <row r="265" spans="6:8" x14ac:dyDescent="0.25">
      <c r="F265" s="7"/>
      <c r="G265" s="1" t="s">
        <v>8</v>
      </c>
      <c r="H265">
        <v>2</v>
      </c>
    </row>
    <row r="266" spans="6:8" x14ac:dyDescent="0.25">
      <c r="F266" s="7" t="s">
        <v>81</v>
      </c>
      <c r="G266" s="1" t="s">
        <v>2</v>
      </c>
      <c r="H266">
        <v>5</v>
      </c>
    </row>
    <row r="267" spans="6:8" x14ac:dyDescent="0.25">
      <c r="F267" s="7"/>
      <c r="G267" s="1" t="s">
        <v>4</v>
      </c>
      <c r="H267">
        <v>9</v>
      </c>
    </row>
    <row r="268" spans="6:8" x14ac:dyDescent="0.25">
      <c r="F268" s="7"/>
      <c r="G268" s="1" t="s">
        <v>5</v>
      </c>
      <c r="H268">
        <v>4</v>
      </c>
    </row>
    <row r="269" spans="6:8" x14ac:dyDescent="0.25">
      <c r="F269" s="7"/>
      <c r="G269" s="1" t="s">
        <v>8</v>
      </c>
      <c r="H269">
        <v>1</v>
      </c>
    </row>
    <row r="270" spans="6:8" x14ac:dyDescent="0.25">
      <c r="F270" s="7" t="s">
        <v>82</v>
      </c>
      <c r="G270" s="1" t="s">
        <v>2</v>
      </c>
      <c r="H270">
        <v>3</v>
      </c>
    </row>
    <row r="271" spans="6:8" x14ac:dyDescent="0.25">
      <c r="F271" s="7"/>
      <c r="G271" s="1" t="s">
        <v>3</v>
      </c>
      <c r="H271">
        <v>12</v>
      </c>
    </row>
    <row r="272" spans="6:8" x14ac:dyDescent="0.25">
      <c r="F272" s="7"/>
      <c r="G272" s="1" t="s">
        <v>4</v>
      </c>
      <c r="H272">
        <v>1</v>
      </c>
    </row>
    <row r="273" spans="6:8" x14ac:dyDescent="0.25">
      <c r="F273" s="7"/>
      <c r="G273" s="1" t="s">
        <v>5</v>
      </c>
      <c r="H273">
        <v>15</v>
      </c>
    </row>
    <row r="274" spans="6:8" x14ac:dyDescent="0.25">
      <c r="F274" s="7"/>
      <c r="G274" s="1" t="s">
        <v>7</v>
      </c>
      <c r="H274">
        <v>4</v>
      </c>
    </row>
    <row r="275" spans="6:8" x14ac:dyDescent="0.25">
      <c r="F275" s="7"/>
      <c r="G275" s="1" t="s">
        <v>8</v>
      </c>
      <c r="H275">
        <v>22</v>
      </c>
    </row>
    <row r="276" spans="6:8" x14ac:dyDescent="0.25">
      <c r="F276" s="7" t="s">
        <v>83</v>
      </c>
      <c r="G276" s="1" t="s">
        <v>7</v>
      </c>
      <c r="H276">
        <v>28</v>
      </c>
    </row>
    <row r="277" spans="6:8" x14ac:dyDescent="0.25">
      <c r="F277" s="7"/>
      <c r="G277" s="1" t="s">
        <v>8</v>
      </c>
      <c r="H277">
        <v>1</v>
      </c>
    </row>
    <row r="278" spans="6:8" x14ac:dyDescent="0.25">
      <c r="F278" s="7" t="s">
        <v>84</v>
      </c>
      <c r="G278" s="1" t="s">
        <v>5</v>
      </c>
      <c r="H278">
        <v>2</v>
      </c>
    </row>
    <row r="279" spans="6:8" x14ac:dyDescent="0.25">
      <c r="F279" s="7"/>
      <c r="G279" s="1" t="s">
        <v>6</v>
      </c>
      <c r="H279">
        <v>4</v>
      </c>
    </row>
    <row r="280" spans="6:8" x14ac:dyDescent="0.25">
      <c r="F280" s="1" t="s">
        <v>85</v>
      </c>
      <c r="G280" s="1" t="s">
        <v>4</v>
      </c>
      <c r="H280">
        <v>2</v>
      </c>
    </row>
  </sheetData>
  <mergeCells count="99">
    <mergeCell ref="F26:F30"/>
    <mergeCell ref="F5:F8"/>
    <mergeCell ref="F9:F11"/>
    <mergeCell ref="F12:F17"/>
    <mergeCell ref="F19:F23"/>
    <mergeCell ref="F24:F25"/>
    <mergeCell ref="F77:F81"/>
    <mergeCell ref="F31:F34"/>
    <mergeCell ref="F35:F40"/>
    <mergeCell ref="F41:F42"/>
    <mergeCell ref="F43:F45"/>
    <mergeCell ref="F46:F47"/>
    <mergeCell ref="F48:F53"/>
    <mergeCell ref="F54:F55"/>
    <mergeCell ref="F57:F62"/>
    <mergeCell ref="F63:F66"/>
    <mergeCell ref="F67:F70"/>
    <mergeCell ref="F71:F76"/>
    <mergeCell ref="F128:F132"/>
    <mergeCell ref="F82:F87"/>
    <mergeCell ref="F88:F90"/>
    <mergeCell ref="F91:F93"/>
    <mergeCell ref="F94:F99"/>
    <mergeCell ref="F100:F106"/>
    <mergeCell ref="F107:F109"/>
    <mergeCell ref="F110:F113"/>
    <mergeCell ref="F114:F117"/>
    <mergeCell ref="F118:F120"/>
    <mergeCell ref="F121:F122"/>
    <mergeCell ref="F123:F127"/>
    <mergeCell ref="F177:F183"/>
    <mergeCell ref="F133:F139"/>
    <mergeCell ref="F140:F141"/>
    <mergeCell ref="F142:F143"/>
    <mergeCell ref="F144:F148"/>
    <mergeCell ref="F150:F151"/>
    <mergeCell ref="F152:F154"/>
    <mergeCell ref="F155:F156"/>
    <mergeCell ref="F158:F159"/>
    <mergeCell ref="F160:F161"/>
    <mergeCell ref="F164:F170"/>
    <mergeCell ref="F171:F176"/>
    <mergeCell ref="F240:F243"/>
    <mergeCell ref="F184:F189"/>
    <mergeCell ref="F190:F193"/>
    <mergeCell ref="F195:F198"/>
    <mergeCell ref="F199:F200"/>
    <mergeCell ref="F201:F207"/>
    <mergeCell ref="F208:F210"/>
    <mergeCell ref="F211:F214"/>
    <mergeCell ref="F215:F220"/>
    <mergeCell ref="F221:F227"/>
    <mergeCell ref="F229:F232"/>
    <mergeCell ref="F234:F238"/>
    <mergeCell ref="F270:F275"/>
    <mergeCell ref="F276:F277"/>
    <mergeCell ref="F278:F279"/>
    <mergeCell ref="B4:B7"/>
    <mergeCell ref="B8:B9"/>
    <mergeCell ref="B11:B15"/>
    <mergeCell ref="B16:B21"/>
    <mergeCell ref="B22:B26"/>
    <mergeCell ref="B27:B30"/>
    <mergeCell ref="B31:B32"/>
    <mergeCell ref="F244:F248"/>
    <mergeCell ref="F249:F253"/>
    <mergeCell ref="F254:F256"/>
    <mergeCell ref="F257:F259"/>
    <mergeCell ref="F260:F265"/>
    <mergeCell ref="F266:F269"/>
    <mergeCell ref="B91:B95"/>
    <mergeCell ref="B34:B39"/>
    <mergeCell ref="B40:B42"/>
    <mergeCell ref="B43:B44"/>
    <mergeCell ref="B45:B48"/>
    <mergeCell ref="B51:B56"/>
    <mergeCell ref="B59:B64"/>
    <mergeCell ref="B65:B70"/>
    <mergeCell ref="B71:B74"/>
    <mergeCell ref="B76:B79"/>
    <mergeCell ref="B80:B84"/>
    <mergeCell ref="B85:B90"/>
    <mergeCell ref="B151:B154"/>
    <mergeCell ref="B96:B98"/>
    <mergeCell ref="B100:B102"/>
    <mergeCell ref="B104:B109"/>
    <mergeCell ref="B110:B114"/>
    <mergeCell ref="B115:B118"/>
    <mergeCell ref="B119:B124"/>
    <mergeCell ref="B127:B132"/>
    <mergeCell ref="B134:B138"/>
    <mergeCell ref="B139:B144"/>
    <mergeCell ref="B145:B147"/>
    <mergeCell ref="B148:B149"/>
    <mergeCell ref="B155:B160"/>
    <mergeCell ref="B161:B162"/>
    <mergeCell ref="B163:B167"/>
    <mergeCell ref="B168:B172"/>
    <mergeCell ref="B173:B17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472CB-A9E2-4738-BB92-E7C86ABD6CCE}">
  <dimension ref="B3:E77"/>
  <sheetViews>
    <sheetView topLeftCell="A27" workbookViewId="0">
      <selection activeCell="C59" sqref="C59"/>
    </sheetView>
  </sheetViews>
  <sheetFormatPr baseColWidth="10" defaultRowHeight="15" x14ac:dyDescent="0.25"/>
  <cols>
    <col min="2" max="2" width="68.140625" bestFit="1" customWidth="1"/>
    <col min="5" max="5" width="68.140625" bestFit="1" customWidth="1"/>
  </cols>
  <sheetData>
    <row r="3" spans="2:5" x14ac:dyDescent="0.25">
      <c r="B3" t="s">
        <v>9</v>
      </c>
      <c r="C3" s="6" t="s">
        <v>94</v>
      </c>
    </row>
    <row r="4" spans="2:5" x14ac:dyDescent="0.25">
      <c r="B4" s="5" t="s">
        <v>12</v>
      </c>
      <c r="C4" t="str">
        <f>IF(COUNTIF(E4:E77, B4) = 0, "YES", "NO")</f>
        <v>NO</v>
      </c>
      <c r="E4" s="5" t="s">
        <v>12</v>
      </c>
    </row>
    <row r="5" spans="2:5" x14ac:dyDescent="0.25">
      <c r="B5" s="5" t="s">
        <v>14</v>
      </c>
      <c r="C5" t="str">
        <f t="shared" ref="C5:C52" si="0">IF(COUNTIF(E5:E78, B5) = 0, "YES", "NO")</f>
        <v>NO</v>
      </c>
      <c r="E5" s="5" t="s">
        <v>13</v>
      </c>
    </row>
    <row r="6" spans="2:5" x14ac:dyDescent="0.25">
      <c r="B6" s="1" t="s">
        <v>86</v>
      </c>
      <c r="C6" t="str">
        <f t="shared" si="0"/>
        <v>YES</v>
      </c>
      <c r="E6" s="5" t="s">
        <v>14</v>
      </c>
    </row>
    <row r="7" spans="2:5" x14ac:dyDescent="0.25">
      <c r="B7" s="5" t="s">
        <v>16</v>
      </c>
      <c r="C7" t="str">
        <f t="shared" si="0"/>
        <v>NO</v>
      </c>
      <c r="E7" s="1" t="s">
        <v>15</v>
      </c>
    </row>
    <row r="8" spans="2:5" x14ac:dyDescent="0.25">
      <c r="B8" s="5" t="s">
        <v>18</v>
      </c>
      <c r="C8" t="str">
        <f t="shared" si="0"/>
        <v>NO</v>
      </c>
      <c r="E8" s="5" t="s">
        <v>16</v>
      </c>
    </row>
    <row r="9" spans="2:5" x14ac:dyDescent="0.25">
      <c r="B9" s="5" t="s">
        <v>19</v>
      </c>
      <c r="C9" t="str">
        <f t="shared" si="0"/>
        <v>NO</v>
      </c>
      <c r="E9" s="5" t="s">
        <v>17</v>
      </c>
    </row>
    <row r="10" spans="2:5" x14ac:dyDescent="0.25">
      <c r="B10" s="5" t="s">
        <v>20</v>
      </c>
      <c r="C10" t="str">
        <f t="shared" si="0"/>
        <v>NO</v>
      </c>
      <c r="E10" s="5" t="s">
        <v>18</v>
      </c>
    </row>
    <row r="11" spans="2:5" x14ac:dyDescent="0.25">
      <c r="B11" s="5" t="s">
        <v>21</v>
      </c>
      <c r="C11" t="str">
        <f t="shared" si="0"/>
        <v>NO</v>
      </c>
      <c r="E11" s="5" t="s">
        <v>19</v>
      </c>
    </row>
    <row r="12" spans="2:5" x14ac:dyDescent="0.25">
      <c r="B12" s="1" t="s">
        <v>22</v>
      </c>
      <c r="C12" t="str">
        <f t="shared" si="0"/>
        <v>NO</v>
      </c>
      <c r="E12" s="5" t="s">
        <v>20</v>
      </c>
    </row>
    <row r="13" spans="2:5" x14ac:dyDescent="0.25">
      <c r="B13" s="5" t="s">
        <v>24</v>
      </c>
      <c r="C13" t="str">
        <f t="shared" si="0"/>
        <v>NO</v>
      </c>
      <c r="E13" s="5" t="s">
        <v>21</v>
      </c>
    </row>
    <row r="14" spans="2:5" x14ac:dyDescent="0.25">
      <c r="B14" s="5" t="s">
        <v>27</v>
      </c>
      <c r="C14" t="str">
        <f t="shared" si="0"/>
        <v>NO</v>
      </c>
      <c r="E14" s="5" t="s">
        <v>22</v>
      </c>
    </row>
    <row r="15" spans="2:5" x14ac:dyDescent="0.25">
      <c r="B15" s="5" t="s">
        <v>28</v>
      </c>
      <c r="C15" t="str">
        <f t="shared" si="0"/>
        <v>NO</v>
      </c>
      <c r="E15" s="5" t="s">
        <v>23</v>
      </c>
    </row>
    <row r="16" spans="2:5" x14ac:dyDescent="0.25">
      <c r="B16" s="5" t="s">
        <v>30</v>
      </c>
      <c r="C16" t="str">
        <f t="shared" si="0"/>
        <v>NO</v>
      </c>
      <c r="E16" s="5" t="s">
        <v>24</v>
      </c>
    </row>
    <row r="17" spans="2:5" x14ac:dyDescent="0.25">
      <c r="B17" s="1" t="s">
        <v>31</v>
      </c>
      <c r="C17" t="str">
        <f t="shared" si="0"/>
        <v>NO</v>
      </c>
      <c r="E17" s="5" t="s">
        <v>25</v>
      </c>
    </row>
    <row r="18" spans="2:5" x14ac:dyDescent="0.25">
      <c r="B18" s="1" t="s">
        <v>87</v>
      </c>
      <c r="C18" t="str">
        <f t="shared" si="0"/>
        <v>YES</v>
      </c>
      <c r="E18" s="1" t="s">
        <v>26</v>
      </c>
    </row>
    <row r="19" spans="2:5" x14ac:dyDescent="0.25">
      <c r="B19" s="5" t="s">
        <v>32</v>
      </c>
      <c r="C19" t="str">
        <f t="shared" si="0"/>
        <v>NO</v>
      </c>
      <c r="E19" s="5" t="s">
        <v>27</v>
      </c>
    </row>
    <row r="20" spans="2:5" x14ac:dyDescent="0.25">
      <c r="B20" s="1" t="s">
        <v>33</v>
      </c>
      <c r="C20" t="str">
        <f t="shared" si="0"/>
        <v>NO</v>
      </c>
      <c r="E20" s="5" t="s">
        <v>28</v>
      </c>
    </row>
    <row r="21" spans="2:5" x14ac:dyDescent="0.25">
      <c r="B21" s="1" t="s">
        <v>34</v>
      </c>
      <c r="C21" t="str">
        <f t="shared" si="0"/>
        <v>NO</v>
      </c>
      <c r="E21" s="5" t="s">
        <v>29</v>
      </c>
    </row>
    <row r="22" spans="2:5" x14ac:dyDescent="0.25">
      <c r="B22" s="5" t="s">
        <v>35</v>
      </c>
      <c r="C22" t="str">
        <f t="shared" si="0"/>
        <v>NO</v>
      </c>
      <c r="E22" s="5" t="s">
        <v>30</v>
      </c>
    </row>
    <row r="23" spans="2:5" x14ac:dyDescent="0.25">
      <c r="B23" s="5" t="s">
        <v>36</v>
      </c>
      <c r="C23" t="str">
        <f t="shared" si="0"/>
        <v>NO</v>
      </c>
      <c r="E23" s="5" t="s">
        <v>31</v>
      </c>
    </row>
    <row r="24" spans="2:5" x14ac:dyDescent="0.25">
      <c r="B24" s="5" t="s">
        <v>37</v>
      </c>
      <c r="C24" t="str">
        <f t="shared" si="0"/>
        <v>NO</v>
      </c>
      <c r="E24" s="5" t="s">
        <v>32</v>
      </c>
    </row>
    <row r="25" spans="2:5" x14ac:dyDescent="0.25">
      <c r="B25" s="1" t="s">
        <v>38</v>
      </c>
      <c r="C25" t="str">
        <f t="shared" si="0"/>
        <v>NO</v>
      </c>
      <c r="E25" s="5" t="s">
        <v>33</v>
      </c>
    </row>
    <row r="26" spans="2:5" x14ac:dyDescent="0.25">
      <c r="B26" s="5" t="s">
        <v>39</v>
      </c>
      <c r="C26" t="str">
        <f t="shared" si="0"/>
        <v>NO</v>
      </c>
      <c r="E26" s="5" t="s">
        <v>34</v>
      </c>
    </row>
    <row r="27" spans="2:5" x14ac:dyDescent="0.25">
      <c r="B27" s="5" t="s">
        <v>42</v>
      </c>
      <c r="C27" t="str">
        <f t="shared" si="0"/>
        <v>NO</v>
      </c>
      <c r="E27" s="5" t="s">
        <v>35</v>
      </c>
    </row>
    <row r="28" spans="2:5" x14ac:dyDescent="0.25">
      <c r="B28" s="5" t="s">
        <v>43</v>
      </c>
      <c r="C28" t="str">
        <f t="shared" si="0"/>
        <v>NO</v>
      </c>
      <c r="E28" s="5" t="s">
        <v>36</v>
      </c>
    </row>
    <row r="29" spans="2:5" x14ac:dyDescent="0.25">
      <c r="B29" s="5" t="s">
        <v>44</v>
      </c>
      <c r="C29" t="str">
        <f t="shared" si="0"/>
        <v>NO</v>
      </c>
      <c r="E29" s="5" t="s">
        <v>37</v>
      </c>
    </row>
    <row r="30" spans="2:5" x14ac:dyDescent="0.25">
      <c r="B30" s="5" t="s">
        <v>47</v>
      </c>
      <c r="C30" t="str">
        <f t="shared" si="0"/>
        <v>NO</v>
      </c>
      <c r="E30" s="5" t="s">
        <v>38</v>
      </c>
    </row>
    <row r="31" spans="2:5" x14ac:dyDescent="0.25">
      <c r="B31" s="1" t="s">
        <v>49</v>
      </c>
      <c r="C31" t="str">
        <f t="shared" si="0"/>
        <v>NO</v>
      </c>
      <c r="E31" s="5" t="s">
        <v>39</v>
      </c>
    </row>
    <row r="32" spans="2:5" x14ac:dyDescent="0.25">
      <c r="B32" s="5" t="s">
        <v>50</v>
      </c>
      <c r="C32" t="str">
        <f t="shared" si="0"/>
        <v>NO</v>
      </c>
      <c r="E32" s="5" t="s">
        <v>40</v>
      </c>
    </row>
    <row r="33" spans="2:5" x14ac:dyDescent="0.25">
      <c r="B33" s="1" t="s">
        <v>55</v>
      </c>
      <c r="C33" t="str">
        <f t="shared" si="0"/>
        <v>NO</v>
      </c>
      <c r="E33" s="5" t="s">
        <v>41</v>
      </c>
    </row>
    <row r="34" spans="2:5" x14ac:dyDescent="0.25">
      <c r="B34" s="5" t="s">
        <v>57</v>
      </c>
      <c r="C34" t="str">
        <f t="shared" si="0"/>
        <v>NO</v>
      </c>
      <c r="E34" s="5" t="s">
        <v>42</v>
      </c>
    </row>
    <row r="35" spans="2:5" x14ac:dyDescent="0.25">
      <c r="B35" s="5" t="s">
        <v>58</v>
      </c>
      <c r="C35" t="str">
        <f t="shared" si="0"/>
        <v>NO</v>
      </c>
      <c r="E35" s="5" t="s">
        <v>43</v>
      </c>
    </row>
    <row r="36" spans="2:5" x14ac:dyDescent="0.25">
      <c r="B36" s="5" t="s">
        <v>59</v>
      </c>
      <c r="C36" t="str">
        <f t="shared" si="0"/>
        <v>NO</v>
      </c>
      <c r="E36" s="5" t="s">
        <v>44</v>
      </c>
    </row>
    <row r="37" spans="2:5" x14ac:dyDescent="0.25">
      <c r="B37" s="5" t="s">
        <v>60</v>
      </c>
      <c r="C37" t="str">
        <f t="shared" si="0"/>
        <v>NO</v>
      </c>
      <c r="E37" s="5" t="s">
        <v>45</v>
      </c>
    </row>
    <row r="38" spans="2:5" x14ac:dyDescent="0.25">
      <c r="B38" s="1" t="s">
        <v>61</v>
      </c>
      <c r="C38" t="str">
        <f t="shared" si="0"/>
        <v>NO</v>
      </c>
      <c r="E38" s="5" t="s">
        <v>46</v>
      </c>
    </row>
    <row r="39" spans="2:5" x14ac:dyDescent="0.25">
      <c r="B39" s="1" t="s">
        <v>63</v>
      </c>
      <c r="C39" t="str">
        <f t="shared" si="0"/>
        <v>NO</v>
      </c>
      <c r="E39" s="5" t="s">
        <v>47</v>
      </c>
    </row>
    <row r="40" spans="2:5" x14ac:dyDescent="0.25">
      <c r="B40" s="5" t="s">
        <v>65</v>
      </c>
      <c r="C40" t="str">
        <f t="shared" si="0"/>
        <v>NO</v>
      </c>
      <c r="E40" s="1" t="s">
        <v>48</v>
      </c>
    </row>
    <row r="41" spans="2:5" x14ac:dyDescent="0.25">
      <c r="B41" s="1" t="s">
        <v>66</v>
      </c>
      <c r="C41" t="str">
        <f t="shared" si="0"/>
        <v>NO</v>
      </c>
      <c r="E41" s="5" t="s">
        <v>49</v>
      </c>
    </row>
    <row r="42" spans="2:5" x14ac:dyDescent="0.25">
      <c r="B42" s="5" t="s">
        <v>67</v>
      </c>
      <c r="C42" t="str">
        <f t="shared" si="0"/>
        <v>NO</v>
      </c>
      <c r="E42" s="5" t="s">
        <v>50</v>
      </c>
    </row>
    <row r="43" spans="2:5" x14ac:dyDescent="0.25">
      <c r="B43" s="5" t="s">
        <v>68</v>
      </c>
      <c r="C43" t="str">
        <f t="shared" si="0"/>
        <v>NO</v>
      </c>
      <c r="E43" s="5" t="s">
        <v>51</v>
      </c>
    </row>
    <row r="44" spans="2:5" x14ac:dyDescent="0.25">
      <c r="B44" s="5" t="s">
        <v>69</v>
      </c>
      <c r="C44" t="str">
        <f t="shared" si="0"/>
        <v>NO</v>
      </c>
      <c r="E44" s="1" t="s">
        <v>52</v>
      </c>
    </row>
    <row r="45" spans="2:5" x14ac:dyDescent="0.25">
      <c r="B45" s="5" t="s">
        <v>73</v>
      </c>
      <c r="C45" t="str">
        <f t="shared" si="0"/>
        <v>NO</v>
      </c>
      <c r="E45" s="5" t="s">
        <v>53</v>
      </c>
    </row>
    <row r="46" spans="2:5" x14ac:dyDescent="0.25">
      <c r="B46" s="1" t="s">
        <v>75</v>
      </c>
      <c r="C46" t="str">
        <f t="shared" si="0"/>
        <v>NO</v>
      </c>
      <c r="E46" s="5" t="s">
        <v>54</v>
      </c>
    </row>
    <row r="47" spans="2:5" x14ac:dyDescent="0.25">
      <c r="B47" s="5" t="s">
        <v>76</v>
      </c>
      <c r="C47" t="str">
        <f t="shared" si="0"/>
        <v>NO</v>
      </c>
      <c r="E47" s="1" t="s">
        <v>55</v>
      </c>
    </row>
    <row r="48" spans="2:5" x14ac:dyDescent="0.25">
      <c r="B48" s="5" t="s">
        <v>77</v>
      </c>
      <c r="C48" t="str">
        <f t="shared" si="0"/>
        <v>NO</v>
      </c>
      <c r="E48" s="1" t="s">
        <v>56</v>
      </c>
    </row>
    <row r="49" spans="2:5" x14ac:dyDescent="0.25">
      <c r="B49" s="5" t="s">
        <v>78</v>
      </c>
      <c r="C49" t="str">
        <f t="shared" si="0"/>
        <v>NO</v>
      </c>
      <c r="E49" s="5" t="s">
        <v>57</v>
      </c>
    </row>
    <row r="50" spans="2:5" x14ac:dyDescent="0.25">
      <c r="B50" s="5" t="s">
        <v>80</v>
      </c>
      <c r="C50" t="str">
        <f t="shared" si="0"/>
        <v>NO</v>
      </c>
      <c r="E50" s="5" t="s">
        <v>58</v>
      </c>
    </row>
    <row r="51" spans="2:5" x14ac:dyDescent="0.25">
      <c r="B51" s="5" t="s">
        <v>81</v>
      </c>
      <c r="C51" t="str">
        <f t="shared" si="0"/>
        <v>NO</v>
      </c>
      <c r="E51" s="5" t="s">
        <v>59</v>
      </c>
    </row>
    <row r="52" spans="2:5" x14ac:dyDescent="0.25">
      <c r="B52" s="5" t="s">
        <v>82</v>
      </c>
      <c r="C52" t="str">
        <f t="shared" si="0"/>
        <v>NO</v>
      </c>
      <c r="E52" s="5" t="s">
        <v>60</v>
      </c>
    </row>
    <row r="53" spans="2:5" x14ac:dyDescent="0.25">
      <c r="B53" s="5"/>
      <c r="E53" s="5" t="s">
        <v>61</v>
      </c>
    </row>
    <row r="54" spans="2:5" x14ac:dyDescent="0.25">
      <c r="B54" s="5"/>
      <c r="E54" s="1" t="s">
        <v>62</v>
      </c>
    </row>
    <row r="55" spans="2:5" x14ac:dyDescent="0.25">
      <c r="B55" s="5"/>
      <c r="E55" s="5" t="s">
        <v>63</v>
      </c>
    </row>
    <row r="56" spans="2:5" x14ac:dyDescent="0.25">
      <c r="B56" s="5"/>
      <c r="E56" s="5" t="s">
        <v>64</v>
      </c>
    </row>
    <row r="57" spans="2:5" x14ac:dyDescent="0.25">
      <c r="E57" s="5" t="s">
        <v>65</v>
      </c>
    </row>
    <row r="58" spans="2:5" x14ac:dyDescent="0.25">
      <c r="E58" s="5" t="s">
        <v>66</v>
      </c>
    </row>
    <row r="59" spans="2:5" x14ac:dyDescent="0.25">
      <c r="B59" t="s">
        <v>95</v>
      </c>
      <c r="C59">
        <f>COUNTIF(C4:C52, "YES")</f>
        <v>2</v>
      </c>
      <c r="E59" s="5" t="s">
        <v>67</v>
      </c>
    </row>
    <row r="60" spans="2:5" x14ac:dyDescent="0.25">
      <c r="E60" s="5" t="s">
        <v>68</v>
      </c>
    </row>
    <row r="61" spans="2:5" x14ac:dyDescent="0.25">
      <c r="E61" s="5" t="s">
        <v>69</v>
      </c>
    </row>
    <row r="62" spans="2:5" x14ac:dyDescent="0.25">
      <c r="E62" s="1" t="s">
        <v>70</v>
      </c>
    </row>
    <row r="63" spans="2:5" x14ac:dyDescent="0.25">
      <c r="E63" s="5" t="s">
        <v>71</v>
      </c>
    </row>
    <row r="64" spans="2:5" x14ac:dyDescent="0.25">
      <c r="E64" s="1" t="s">
        <v>72</v>
      </c>
    </row>
    <row r="65" spans="5:5" x14ac:dyDescent="0.25">
      <c r="E65" s="5" t="s">
        <v>73</v>
      </c>
    </row>
    <row r="66" spans="5:5" x14ac:dyDescent="0.25">
      <c r="E66" s="1" t="s">
        <v>74</v>
      </c>
    </row>
    <row r="67" spans="5:5" x14ac:dyDescent="0.25">
      <c r="E67" s="5" t="s">
        <v>75</v>
      </c>
    </row>
    <row r="68" spans="5:5" x14ac:dyDescent="0.25">
      <c r="E68" s="5" t="s">
        <v>76</v>
      </c>
    </row>
    <row r="69" spans="5:5" x14ac:dyDescent="0.25">
      <c r="E69" s="5" t="s">
        <v>77</v>
      </c>
    </row>
    <row r="70" spans="5:5" x14ac:dyDescent="0.25">
      <c r="E70" s="5" t="s">
        <v>78</v>
      </c>
    </row>
    <row r="71" spans="5:5" x14ac:dyDescent="0.25">
      <c r="E71" s="5" t="s">
        <v>79</v>
      </c>
    </row>
    <row r="72" spans="5:5" x14ac:dyDescent="0.25">
      <c r="E72" s="5" t="s">
        <v>80</v>
      </c>
    </row>
    <row r="73" spans="5:5" x14ac:dyDescent="0.25">
      <c r="E73" s="5" t="s">
        <v>81</v>
      </c>
    </row>
    <row r="74" spans="5:5" x14ac:dyDescent="0.25">
      <c r="E74" s="5" t="s">
        <v>82</v>
      </c>
    </row>
    <row r="75" spans="5:5" x14ac:dyDescent="0.25">
      <c r="E75" s="5" t="s">
        <v>83</v>
      </c>
    </row>
    <row r="76" spans="5:5" x14ac:dyDescent="0.25">
      <c r="E76" s="5" t="s">
        <v>84</v>
      </c>
    </row>
    <row r="77" spans="5:5" x14ac:dyDescent="0.25">
      <c r="E77" s="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Obs</vt:lpstr>
      <vt:lpstr>MPA</vt:lpstr>
      <vt:lpstr>MPA 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Jou</dc:creator>
  <cp:lastModifiedBy>Marc Jou</cp:lastModifiedBy>
  <dcterms:created xsi:type="dcterms:W3CDTF">2025-12-19T10:11:14Z</dcterms:created>
  <dcterms:modified xsi:type="dcterms:W3CDTF">2025-12-19T19:18:55Z</dcterms:modified>
</cp:coreProperties>
</file>