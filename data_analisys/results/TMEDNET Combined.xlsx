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results\"/>
    </mc:Choice>
  </mc:AlternateContent>
  <xr:revisionPtr revIDLastSave="0" documentId="13_ncr:1_{32861741-41DF-4778-AF8C-1C1F19B07B11}" xr6:coauthVersionLast="47" xr6:coauthVersionMax="47" xr10:uidLastSave="{00000000-0000-0000-0000-000000000000}"/>
  <bookViews>
    <workbookView xWindow="-120" yWindow="-120" windowWidth="29040" windowHeight="15720" xr2:uid="{B3BE6E74-EABF-4731-AB7E-A8FFA1B75AB2}"/>
  </bookViews>
  <sheets>
    <sheet name="Obs" sheetId="1" r:id="rId1"/>
    <sheet name="MPAS" sheetId="2" r:id="rId2"/>
    <sheet name="MPAS PRIOR no MME PIVOT" sheetId="5" r:id="rId3"/>
    <sheet name="MPAS POST no MME PIVOT" sheetId="6" r:id="rId4"/>
  </sheets>
  <definedNames>
    <definedName name="_xlnm._FilterDatabase" localSheetId="1" hidden="1">MPAS!$B$3:$D$125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10" i="2"/>
  <c r="F12" i="2"/>
  <c r="F17" i="2"/>
  <c r="F18" i="2"/>
  <c r="F23" i="2"/>
  <c r="F26" i="2"/>
  <c r="I26" i="2" s="1"/>
  <c r="F28" i="2"/>
  <c r="F31" i="2"/>
  <c r="F35" i="2"/>
  <c r="F39" i="2"/>
  <c r="F46" i="2"/>
  <c r="F48" i="2"/>
  <c r="F49" i="2" s="1"/>
  <c r="F52" i="2"/>
  <c r="F54" i="2"/>
  <c r="F61" i="2"/>
  <c r="F67" i="2"/>
  <c r="B8" i="2"/>
  <c r="B10" i="2"/>
  <c r="B12" i="2"/>
  <c r="B15" i="2"/>
  <c r="B21" i="2"/>
  <c r="B24" i="2"/>
  <c r="B27" i="2"/>
  <c r="B29" i="2"/>
  <c r="B31" i="2"/>
  <c r="B33" i="2"/>
  <c r="B35" i="2"/>
  <c r="B42" i="2"/>
  <c r="B45" i="2"/>
  <c r="B54" i="2"/>
  <c r="B56" i="2"/>
  <c r="B58" i="2"/>
  <c r="B62" i="2"/>
  <c r="B64" i="2"/>
  <c r="B67" i="2"/>
  <c r="B69" i="2"/>
  <c r="B71" i="2"/>
  <c r="B74" i="2"/>
  <c r="B76" i="2"/>
  <c r="B81" i="2"/>
  <c r="B86" i="2"/>
  <c r="B89" i="2"/>
  <c r="B90" i="2"/>
  <c r="B92" i="2"/>
  <c r="B93" i="2"/>
  <c r="B96" i="2"/>
  <c r="B99" i="2"/>
  <c r="B100" i="2"/>
  <c r="B102" i="2"/>
  <c r="B105" i="2"/>
  <c r="B110" i="2"/>
  <c r="B113" i="2"/>
  <c r="B116" i="2"/>
  <c r="B118" i="2"/>
  <c r="B122" i="2"/>
  <c r="B124" i="2"/>
  <c r="I71" i="2" l="1"/>
  <c r="I64" i="2"/>
  <c r="I14" i="2"/>
  <c r="I57" i="2"/>
  <c r="I48" i="2"/>
  <c r="I12" i="2"/>
  <c r="I72" i="2"/>
  <c r="I13" i="2"/>
  <c r="I60" i="2"/>
  <c r="I49" i="2"/>
  <c r="I36" i="2"/>
  <c r="I61" i="2"/>
  <c r="I25" i="2"/>
  <c r="I37" i="2"/>
  <c r="I24" i="2"/>
  <c r="I23" i="2"/>
  <c r="I11" i="2"/>
  <c r="I70" i="2"/>
  <c r="I34" i="2"/>
  <c r="I59" i="2"/>
  <c r="I69" i="2"/>
  <c r="I68" i="2"/>
  <c r="I4" i="2"/>
  <c r="I46" i="2"/>
  <c r="I33" i="2"/>
  <c r="I44" i="2"/>
  <c r="I20" i="2"/>
  <c r="I67" i="2"/>
  <c r="I55" i="2"/>
  <c r="I43" i="2"/>
  <c r="I31" i="2"/>
  <c r="I19" i="2"/>
  <c r="I7" i="2"/>
  <c r="I35" i="2"/>
  <c r="I9" i="2"/>
  <c r="I32" i="2"/>
  <c r="I8" i="2"/>
  <c r="I66" i="2"/>
  <c r="I54" i="2"/>
  <c r="I42" i="2"/>
  <c r="I30" i="2"/>
  <c r="I18" i="2"/>
  <c r="I6" i="2"/>
  <c r="I22" i="2"/>
  <c r="I10" i="2"/>
  <c r="I21" i="2"/>
  <c r="I65" i="2"/>
  <c r="I41" i="2"/>
  <c r="I5" i="2"/>
  <c r="I40" i="2"/>
  <c r="I28" i="2"/>
  <c r="I16" i="2"/>
  <c r="I47" i="2"/>
  <c r="I45" i="2"/>
  <c r="I53" i="2"/>
  <c r="I29" i="2"/>
  <c r="I52" i="2"/>
  <c r="I63" i="2"/>
  <c r="I51" i="2"/>
  <c r="I39" i="2"/>
  <c r="I27" i="2"/>
  <c r="I15" i="2"/>
  <c r="I58" i="2"/>
  <c r="I56" i="2"/>
  <c r="I17" i="2"/>
  <c r="I62" i="2"/>
  <c r="I50" i="2"/>
  <c r="I38" i="2"/>
</calcChain>
</file>

<file path=xl/sharedStrings.xml><?xml version="1.0" encoding="utf-8"?>
<sst xmlns="http://schemas.openxmlformats.org/spreadsheetml/2006/main" count="544" uniqueCount="128">
  <si>
    <t>Project</t>
  </si>
  <si>
    <t>Latitude</t>
  </si>
  <si>
    <t>Fish Visual Census</t>
  </si>
  <si>
    <t>MME</t>
  </si>
  <si>
    <t>Monitoring Mortality</t>
  </si>
  <si>
    <t>prior 2024</t>
  </si>
  <si>
    <t>POFA</t>
  </si>
  <si>
    <t>URCH</t>
  </si>
  <si>
    <t>2024-2025</t>
  </si>
  <si>
    <t>NAME</t>
  </si>
  <si>
    <t>Acantilados de Maro-Cerro Gordo</t>
  </si>
  <si>
    <t>Aiguamolls de l'Alt Empordà</t>
  </si>
  <si>
    <t>Alónnisos, Vóreies Sporádes</t>
  </si>
  <si>
    <t>Archipielago de Cabrera</t>
  </si>
  <si>
    <t>Arcipelago Toscano</t>
  </si>
  <si>
    <t>Arcipelago di La Maddalena</t>
  </si>
  <si>
    <t>Badia de Palma</t>
  </si>
  <si>
    <t>Bouches De Bonifacio</t>
  </si>
  <si>
    <t>Brijuni</t>
  </si>
  <si>
    <t>Cabo De Palos - Islas Hormigas</t>
  </si>
  <si>
    <t>Cabo Tiñoso</t>
  </si>
  <si>
    <t>Cabo de Gata-Níjar</t>
  </si>
  <si>
    <t>Calanques</t>
  </si>
  <si>
    <t>Cap Corse et Agriate</t>
  </si>
  <si>
    <t>Cap Lindles</t>
  </si>
  <si>
    <t>Cap d'Antibes</t>
  </si>
  <si>
    <t>Cap de Creus</t>
  </si>
  <si>
    <t>Capo Caccia - Isola Piana</t>
  </si>
  <si>
    <t>Capo Carbonara</t>
  </si>
  <si>
    <t>Cinque Terre</t>
  </si>
  <si>
    <t>Corredor de Migracion de Cetaceos del Mediterraneo</t>
  </si>
  <si>
    <t>Costes del Garraf</t>
  </si>
  <si>
    <t>Costes del Maresme</t>
  </si>
  <si>
    <t>Costes del Tarragonès</t>
  </si>
  <si>
    <t>Côte Bleue</t>
  </si>
  <si>
    <t>Datça-Bozburun</t>
  </si>
  <si>
    <t>Del Montgri, les Illes Medes i el Baix Ter</t>
  </si>
  <si>
    <t>Es Vedra i es Vedranell</t>
  </si>
  <si>
    <t>Espacio marino de l'Empordà</t>
  </si>
  <si>
    <t>Espacio marino del Delta de l'Ebre-Illes Columbretes</t>
  </si>
  <si>
    <t>Fethiye-Gocek</t>
  </si>
  <si>
    <t>Fondos Marinos Levante Almeriense</t>
  </si>
  <si>
    <t>Fons Marins del Cap de Sant Antoni</t>
  </si>
  <si>
    <t>Gallikós, Axios, Loudiá, Aliákmonas, Alíkis Kitrós, Limnothálassa Kalochoríou</t>
  </si>
  <si>
    <t>Gyaros</t>
  </si>
  <si>
    <t>Gökova</t>
  </si>
  <si>
    <t>Ile Plane (Paloma)</t>
  </si>
  <si>
    <t>Iles Habibas</t>
  </si>
  <si>
    <t>Illa de Tabarca</t>
  </si>
  <si>
    <t>Illa de l’Aire</t>
  </si>
  <si>
    <t>Illa del Toro</t>
  </si>
  <si>
    <t>Illes Columbretes</t>
  </si>
  <si>
    <t>Illots de Ponent</t>
  </si>
  <si>
    <t>Isla de San Andrés</t>
  </si>
  <si>
    <t>Isola di Bergeggi</t>
  </si>
  <si>
    <t>Isola di Ustica</t>
  </si>
  <si>
    <t>Isole Tremiti</t>
  </si>
  <si>
    <t>Isole dello Stagnone di Marsala</t>
  </si>
  <si>
    <t>Kavo Gkreko</t>
  </si>
  <si>
    <t>Kornati</t>
  </si>
  <si>
    <t>Lastovsko otoèje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</si>
  <si>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</si>
  <si>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</si>
  <si>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</si>
  <si>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</si>
  <si>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Massís de les Cadiretes</t>
  </si>
  <si>
    <t>Masía Blanca</t>
  </si>
  <si>
    <t>Migjorn De Mallorca</t>
  </si>
  <si>
    <t>Mljet</t>
  </si>
  <si>
    <t>Nord de Menorca</t>
  </si>
  <si>
    <t>Pelagos Sanctuary for Marine Mammals</t>
  </si>
  <si>
    <t>Penisola del Sinis - Isola Mal di Ventre</t>
  </si>
  <si>
    <t>Port-Cros</t>
  </si>
  <si>
    <t>Porto Cesareo</t>
  </si>
  <si>
    <t>Portofino</t>
  </si>
  <si>
    <t>Prviæ i Grgurov kanal</t>
  </si>
  <si>
    <t>Punta Campanella</t>
  </si>
  <si>
    <t>Regno di Nettuno</t>
  </si>
  <si>
    <t>S'Albufera des Grau</t>
  </si>
  <si>
    <t>Sa Dragonera</t>
  </si>
  <si>
    <t>Santa Maria di Castellabate</t>
  </si>
  <si>
    <t>Scandola</t>
  </si>
  <si>
    <t>Secche della Meloria</t>
  </si>
  <si>
    <t>Secche di Tor Paterno</t>
  </si>
  <si>
    <t>Serra Gelada</t>
  </si>
  <si>
    <t>Ses Salines d'Eivissa I Formentera</t>
  </si>
  <si>
    <t>Tavolara - Punta Coda Cavallo</t>
  </si>
  <si>
    <t>Telašćica</t>
  </si>
  <si>
    <t>The Southwest Sea</t>
  </si>
  <si>
    <t>Yam Rosh Haniqra – Akhziv</t>
  </si>
  <si>
    <t>Zembra</t>
  </si>
  <si>
    <t>Zákynthos</t>
  </si>
  <si>
    <t>Prior 2024</t>
  </si>
  <si>
    <t>Cerbère-Banyuls</t>
  </si>
  <si>
    <t>Costa degli Infreschi e della Masseta</t>
  </si>
  <si>
    <t>Galiton</t>
  </si>
  <si>
    <t>Golfe du Lion</t>
  </si>
  <si>
    <t>Isole Pelagie</t>
  </si>
  <si>
    <t>Malostonski zaljev</t>
  </si>
  <si>
    <t>Marine area around Gozo</t>
  </si>
  <si>
    <t>Marine area between San Dimitri Point (Gozo) and Il-Qaliet</t>
  </si>
  <si>
    <t>Marine area within the limits of Dwerja (Gozo)</t>
  </si>
  <si>
    <t>Shiqmona</t>
  </si>
  <si>
    <t>Yam Dor Ha-Bonim</t>
  </si>
  <si>
    <t>Ygrotópon Kotychíou - Strofyliás</t>
  </si>
  <si>
    <t>Is new?</t>
  </si>
  <si>
    <t>Posidonies du cap d'Agde</t>
  </si>
  <si>
    <t>Kaş-Kekova</t>
  </si>
  <si>
    <t>Plemmirio</t>
  </si>
  <si>
    <t>Temp</t>
  </si>
  <si>
    <t>Kotorsko Risanski Zaliv</t>
  </si>
  <si>
    <t>Portugal</t>
  </si>
  <si>
    <t>Etiquetas de fila</t>
  </si>
  <si>
    <t>Total general</t>
  </si>
  <si>
    <t>Cuenta de Project</t>
  </si>
  <si>
    <t>(Varios elementos)</t>
  </si>
  <si>
    <t>TEMP</t>
  </si>
  <si>
    <t>Obs</t>
  </si>
  <si>
    <t>ITALIA - No iniciada 1</t>
  </si>
  <si>
    <t>ITALIA - No iniciada 2</t>
  </si>
  <si>
    <t>ITALIA - No iniciada 3</t>
  </si>
  <si>
    <t>ITALIA - No iniciada 4</t>
  </si>
  <si>
    <t>ITALIA - No iniciada 5</t>
  </si>
  <si>
    <t>ITALIA - No iniciada 6</t>
  </si>
  <si>
    <t>ITALIA - No iniciada 7</t>
  </si>
  <si>
    <t>ITALIA - No iniciada 8</t>
  </si>
  <si>
    <t>ITALIA - No iniciada 9</t>
  </si>
  <si>
    <t>ITALIA - No iniciada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</si>
</sst>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records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Obs!$I$6</c:f>
              <c:strCache>
                <c:ptCount val="1"/>
                <c:pt idx="0">
                  <c:v>Obs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42-43CD-BD9A-375FEFC8B7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42-43CD-BD9A-375FEFC8B7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42-43CD-BD9A-375FEFC8B7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442-43CD-BD9A-375FEFC8B761}"/>
              </c:ext>
            </c:extLst>
          </c:dPt>
          <c:dLbls>
            <c:dLbl>
              <c:idx val="0"/>
              <c:layout>
                <c:manualLayout>
                  <c:x val="9.4228497131150335E-2"/>
                  <c:y val="6.258147774415399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42-43CD-BD9A-375FEFC8B761}"/>
                </c:ext>
              </c:extLst>
            </c:dLbl>
            <c:dLbl>
              <c:idx val="1"/>
              <c:layout>
                <c:manualLayout>
                  <c:x val="-5.8421668221313207E-2"/>
                  <c:y val="-9.387221661623103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42-43CD-BD9A-375FEFC8B761}"/>
                </c:ext>
              </c:extLst>
            </c:dLbl>
            <c:dLbl>
              <c:idx val="2"/>
              <c:layout>
                <c:manualLayout>
                  <c:x val="-3.9575968795083141E-2"/>
                  <c:y val="-0.1147327091976156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42-43CD-BD9A-375FEFC8B761}"/>
                </c:ext>
              </c:extLst>
            </c:dLbl>
            <c:dLbl>
              <c:idx val="3"/>
              <c:layout>
                <c:manualLayout>
                  <c:x val="-3.7691398852460136E-3"/>
                  <c:y val="-0.1286397042518721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442-43CD-BD9A-375FEFC8B7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Obs!$H$7:$H$10</c:f>
              <c:strCache>
                <c:ptCount val="4"/>
                <c:pt idx="0">
                  <c:v>Fish Visual Census</c:v>
                </c:pt>
                <c:pt idx="1">
                  <c:v>Monitoring Mortality</c:v>
                </c:pt>
                <c:pt idx="2">
                  <c:v>POFA</c:v>
                </c:pt>
                <c:pt idx="3">
                  <c:v>URCH</c:v>
                </c:pt>
              </c:strCache>
            </c:strRef>
          </c:cat>
          <c:val>
            <c:numRef>
              <c:f>Obs!$I$7:$I$10</c:f>
              <c:numCache>
                <c:formatCode>General</c:formatCode>
                <c:ptCount val="4"/>
                <c:pt idx="0">
                  <c:v>3434</c:v>
                </c:pt>
                <c:pt idx="1">
                  <c:v>334</c:v>
                </c:pt>
                <c:pt idx="2">
                  <c:v>4</c:v>
                </c:pt>
                <c:pt idx="3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2-4D51-9653-01AFEB8FB2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642937</xdr:colOff>
      <xdr:row>11</xdr:row>
      <xdr:rowOff>176212</xdr:rowOff>
    </xdr:from>
    <xdr:to>
      <xdr:col>15</xdr:col>
      <xdr:colOff>523875</xdr:colOff>
      <xdr:row>31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34CA65-B096-2B15-A27F-4FCECC726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Jou" refreshedDate="46010.644734259258" createdVersion="8" refreshedVersion="8" minRefreshableVersion="3" recordCount="158" xr:uid="{9DDDE944-2E81-4F1B-BE64-09621F492996}">
  <cacheSource type="worksheet">
    <worksheetSource ref="B3:C161" sheet="MPAS"/>
  </cacheSource>
  <cacheFields count="2">
    <cacheField name="NAME" numFmtId="0">
      <sharedItems containsBlank="1" count="89">
        <s v="Acantilados de Maro-Cerro Gordo"/>
        <s v="Aiguamolls de l'Alt Empordà"/>
        <s v="Alónnisos, Vóreies Sporádes"/>
        <s v="Archipielago de Cabrera"/>
        <s v="Arcipelago Toscano"/>
        <s v="Arcipelago di La Maddalena"/>
        <s v="Badia de Palma"/>
        <s v="Bouches De Bonifacio"/>
        <s v="Brijuni"/>
        <s v="Cabo De Palos - Islas Hormigas"/>
        <s v="Cabo Tiñoso"/>
        <s v="Cabo de Gata-Níjar"/>
        <s v="Calanques"/>
        <s v="Cap Corse et Agriate"/>
        <s v="Cap Lindles"/>
        <s v="Cap d'Antibes"/>
        <s v="Cap de Creus"/>
        <s v="Capo Caccia - Isola Piana"/>
        <s v="Capo Carbonara"/>
        <s v="Cinque Terre"/>
        <s v="Corredor de Migracion de Cetaceos del Mediterraneo"/>
        <s v="Costes del Garraf"/>
        <s v="Costes del Maresme"/>
        <s v="Costes del Tarragonès"/>
        <s v="Côte Bleue"/>
        <s v="Datça-Bozburun"/>
        <s v="Del Montgri, les Illes Medes i el Baix Ter"/>
        <s v="Es Vedra i es Vedranell"/>
        <s v="Espacio marino de l'Empordà"/>
        <s v="Espacio marino del Delta de l'Ebre-Illes Columbretes"/>
        <s v="Fethiye-Gocek"/>
        <s v="Fondos Marinos Levante Almeriense"/>
        <s v="Fons Marins del Cap de Sant Antoni"/>
        <s v="Gallikós, Axios, Loudiá, Aliákmonas, Alíkis Kitrós, Limnothálassa Kalochoríou"/>
        <s v="Gyaros"/>
        <s v="Gökova"/>
        <s v="Ile Plane (Paloma)"/>
        <s v="Iles Habibas"/>
        <s v="Illa de Tabarca"/>
        <s v="Illa de l’Aire"/>
        <s v="Illa del Toro"/>
        <s v="Illes Columbretes"/>
        <s v="Illots de Ponent"/>
        <s v="Isla de San Andrés"/>
        <s v="Isola di Bergeggi"/>
        <s v="Isola di Ustica"/>
        <s v="Isole Tremiti"/>
        <s v="Isole dello Stagnone di Marsala"/>
        <s v="Kavo Gkreko"/>
        <s v="Kornati"/>
        <s v="Lastovsko otoèje"/>
        <s v="Litoral del Baix Empordà"/>
        <s v="Litoral meridional tarragoní"/>
        <s v="Llevant De Mallorca - Cala Ratjada"/>
        <s v="Mar Menor and Oriental Mediterranean zone of the Region of Murcia coast"/>
        <s v="Massís de les Cadiretes"/>
        <s v="Masía Blanca"/>
        <s v="Migjorn De Mallorca"/>
        <s v="Mljet"/>
        <s v="Nord de Menorca"/>
        <s v="Pelagos Sanctuary for Marine Mammals"/>
        <s v="Penisola del Sinis - Isola Mal di Ventre"/>
        <s v="Port-Cros"/>
        <s v="Porto Cesareo"/>
        <s v="Portofino"/>
        <s v="Prviæ i Grgurov kanal"/>
        <s v="Punta Campanella"/>
        <s v="Regno di Nettuno"/>
        <s v="S'Albufera des Grau"/>
        <s v="Sa Dragonera"/>
        <s v="Santa Maria di Castellabate"/>
        <s v="Scandola"/>
        <s v="Secche della Meloria"/>
        <s v="Secche di Tor Paterno"/>
        <s v="Serra Gelada"/>
        <s v="Ses Salines d'Eivissa I Formentera"/>
        <s v="Tavolara - Punta Coda Cavallo"/>
        <s v="Telašćica"/>
        <s v="The Southwest Sea"/>
        <s v="Yam Rosh Haniqra – Akhziv"/>
        <s v="Zembra"/>
        <s v="Zákynthos"/>
        <m/>
        <s v="Cerbère-Banyuls"/>
        <s v="Golfe du Lion"/>
        <s v="Posidonies du cap d'Agde"/>
        <s v="Kaş-Kekova"/>
        <s v="Isole Pelagie"/>
        <s v="Plemmirio"/>
      </sharedItems>
    </cacheField>
    <cacheField name="Project" numFmtId="0">
      <sharedItems containsBlank="1" count="5">
        <s v="MME"/>
        <s v="Monitoring Mortality"/>
        <s v="Fish Visual Census"/>
        <m/>
        <s v="Tem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Jou" refreshedDate="46010.647456481478" createdVersion="8" refreshedVersion="8" minRefreshableVersion="3" recordCount="73" xr:uid="{2CD2AF43-CFB2-4976-9AA8-A4221600D6D9}">
  <cacheSource type="worksheet">
    <worksheetSource ref="F3:G76" sheet="MPAS"/>
  </cacheSource>
  <cacheFields count="2">
    <cacheField name="NAME" numFmtId="0">
      <sharedItems containsBlank="1" count="54">
        <s v="Archipielago de Cabrera"/>
        <s v="Brijuni"/>
        <s v="Cabo De Palos - Islas Hormigas"/>
        <s v="Cabo de Gata-Níjar"/>
        <s v="Calanques"/>
        <s v="Cap de Creus"/>
        <s v="Capo Carbonara"/>
        <s v="Cerbère-Banyuls"/>
        <s v="Costa degli Infreschi e della Masseta"/>
        <s v="Del Montgri, les Illes Medes i el Baix Ter"/>
        <s v="Espacio marino de l'Empordà"/>
        <s v="Galiton"/>
        <s v="Golfe du Lion"/>
        <s v="Illa de Tabarca"/>
        <s v="Isola di Bergeggi"/>
        <s v="Isola di Ustica"/>
        <s v="Isole Pelagie"/>
        <s v="Isole Tremiti"/>
        <s v="Kavo Gkreko"/>
        <s v="Kornati"/>
        <s v="Lastovsko otoèje"/>
        <s v="Litoral del Baix Empordà"/>
        <s v="Llevant De Mallorca - Cala Ratjada"/>
        <s v="Malostonski zaljev"/>
        <s v="Mar Menor and Oriental Mediterranean zone of the Region of Murcia coast"/>
        <s v="Marine area around Gozo"/>
        <s v="Marine area between San Dimitri Point (Gozo) and Il-Qaliet"/>
        <s v="Marine area within the limits of Dwerja (Gozo)"/>
        <s v="Migjorn De Mallorca"/>
        <s v="Mljet"/>
        <s v="Nord de Menorca"/>
        <s v="Pelagos Sanctuary for Marine Mammals"/>
        <s v="Penisola del Sinis - Isola Mal di Ventre"/>
        <s v="Port-Cros"/>
        <s v="Portofino"/>
        <s v="Prviæ i Grgurov kanal"/>
        <s v="Punta Campanella"/>
        <s v="Regno di Nettuno"/>
        <s v="S'Albufera des Grau"/>
        <s v="Sa Dragonera"/>
        <s v="Scandola"/>
        <s v="Secche della Meloria"/>
        <s v="Serra Gelada"/>
        <s v="Ses Salines d'Eivissa I Formentera"/>
        <s v="Shiqmona"/>
        <s v="Tavolara - Punta Coda Cavallo"/>
        <s v="Telašćica"/>
        <s v="Yam Dor Ha-Bonim"/>
        <s v="Ygrotópon Kotychíou - Strofyliás"/>
        <s v="Zembra"/>
        <s v="Zákynthos"/>
        <m/>
        <s v="Kotorsko Risanski Zaliv"/>
        <s v="Portugal"/>
      </sharedItems>
    </cacheField>
    <cacheField name="Project" numFmtId="0">
      <sharedItems containsBlank="1" count="6">
        <s v="MME"/>
        <s v="Fish Visual Census"/>
        <s v="Monitoring Mortality"/>
        <s v="URCH"/>
        <m/>
        <s v="Tem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x v="0"/>
  </r>
  <r>
    <x v="1"/>
    <x v="1"/>
  </r>
  <r>
    <x v="2"/>
    <x v="0"/>
  </r>
  <r>
    <x v="3"/>
    <x v="0"/>
  </r>
  <r>
    <x v="3"/>
    <x v="1"/>
  </r>
  <r>
    <x v="4"/>
    <x v="0"/>
  </r>
  <r>
    <x v="4"/>
    <x v="1"/>
  </r>
  <r>
    <x v="5"/>
    <x v="0"/>
  </r>
  <r>
    <x v="5"/>
    <x v="1"/>
  </r>
  <r>
    <x v="6"/>
    <x v="0"/>
  </r>
  <r>
    <x v="7"/>
    <x v="0"/>
  </r>
  <r>
    <x v="7"/>
    <x v="1"/>
  </r>
  <r>
    <x v="8"/>
    <x v="1"/>
  </r>
  <r>
    <x v="9"/>
    <x v="0"/>
  </r>
  <r>
    <x v="10"/>
    <x v="0"/>
  </r>
  <r>
    <x v="11"/>
    <x v="0"/>
  </r>
  <r>
    <x v="12"/>
    <x v="0"/>
  </r>
  <r>
    <x v="12"/>
    <x v="1"/>
  </r>
  <r>
    <x v="13"/>
    <x v="0"/>
  </r>
  <r>
    <x v="14"/>
    <x v="0"/>
  </r>
  <r>
    <x v="14"/>
    <x v="1"/>
  </r>
  <r>
    <x v="15"/>
    <x v="0"/>
  </r>
  <r>
    <x v="16"/>
    <x v="0"/>
  </r>
  <r>
    <x v="16"/>
    <x v="1"/>
  </r>
  <r>
    <x v="17"/>
    <x v="0"/>
  </r>
  <r>
    <x v="17"/>
    <x v="1"/>
  </r>
  <r>
    <x v="18"/>
    <x v="0"/>
  </r>
  <r>
    <x v="18"/>
    <x v="1"/>
  </r>
  <r>
    <x v="19"/>
    <x v="0"/>
  </r>
  <r>
    <x v="19"/>
    <x v="1"/>
  </r>
  <r>
    <x v="20"/>
    <x v="0"/>
  </r>
  <r>
    <x v="20"/>
    <x v="1"/>
  </r>
  <r>
    <x v="21"/>
    <x v="1"/>
  </r>
  <r>
    <x v="22"/>
    <x v="0"/>
  </r>
  <r>
    <x v="23"/>
    <x v="0"/>
  </r>
  <r>
    <x v="24"/>
    <x v="1"/>
  </r>
  <r>
    <x v="25"/>
    <x v="0"/>
  </r>
  <r>
    <x v="26"/>
    <x v="0"/>
  </r>
  <r>
    <x v="26"/>
    <x v="1"/>
  </r>
  <r>
    <x v="27"/>
    <x v="0"/>
  </r>
  <r>
    <x v="28"/>
    <x v="0"/>
  </r>
  <r>
    <x v="28"/>
    <x v="1"/>
  </r>
  <r>
    <x v="29"/>
    <x v="0"/>
  </r>
  <r>
    <x v="30"/>
    <x v="1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6"/>
    <x v="1"/>
  </r>
  <r>
    <x v="37"/>
    <x v="0"/>
  </r>
  <r>
    <x v="37"/>
    <x v="1"/>
  </r>
  <r>
    <x v="38"/>
    <x v="0"/>
  </r>
  <r>
    <x v="38"/>
    <x v="1"/>
  </r>
  <r>
    <x v="39"/>
    <x v="0"/>
  </r>
  <r>
    <x v="40"/>
    <x v="0"/>
  </r>
  <r>
    <x v="41"/>
    <x v="0"/>
  </r>
  <r>
    <x v="41"/>
    <x v="1"/>
  </r>
  <r>
    <x v="42"/>
    <x v="0"/>
  </r>
  <r>
    <x v="42"/>
    <x v="1"/>
  </r>
  <r>
    <x v="43"/>
    <x v="0"/>
  </r>
  <r>
    <x v="44"/>
    <x v="0"/>
  </r>
  <r>
    <x v="44"/>
    <x v="1"/>
  </r>
  <r>
    <x v="45"/>
    <x v="2"/>
  </r>
  <r>
    <x v="45"/>
    <x v="1"/>
  </r>
  <r>
    <x v="46"/>
    <x v="0"/>
  </r>
  <r>
    <x v="46"/>
    <x v="1"/>
  </r>
  <r>
    <x v="47"/>
    <x v="0"/>
  </r>
  <r>
    <x v="48"/>
    <x v="0"/>
  </r>
  <r>
    <x v="48"/>
    <x v="1"/>
  </r>
  <r>
    <x v="49"/>
    <x v="0"/>
  </r>
  <r>
    <x v="49"/>
    <x v="1"/>
  </r>
  <r>
    <x v="50"/>
    <x v="0"/>
  </r>
  <r>
    <x v="51"/>
    <x v="1"/>
  </r>
  <r>
    <x v="52"/>
    <x v="0"/>
  </r>
  <r>
    <x v="53"/>
    <x v="0"/>
  </r>
  <r>
    <x v="53"/>
    <x v="1"/>
  </r>
  <r>
    <x v="54"/>
    <x v="0"/>
  </r>
  <r>
    <x v="55"/>
    <x v="0"/>
  </r>
  <r>
    <x v="56"/>
    <x v="0"/>
  </r>
  <r>
    <x v="57"/>
    <x v="0"/>
  </r>
  <r>
    <x v="57"/>
    <x v="1"/>
  </r>
  <r>
    <x v="58"/>
    <x v="0"/>
  </r>
  <r>
    <x v="59"/>
    <x v="2"/>
  </r>
  <r>
    <x v="59"/>
    <x v="0"/>
  </r>
  <r>
    <x v="59"/>
    <x v="1"/>
  </r>
  <r>
    <x v="60"/>
    <x v="2"/>
  </r>
  <r>
    <x v="60"/>
    <x v="0"/>
  </r>
  <r>
    <x v="60"/>
    <x v="1"/>
  </r>
  <r>
    <x v="61"/>
    <x v="0"/>
  </r>
  <r>
    <x v="62"/>
    <x v="0"/>
  </r>
  <r>
    <x v="62"/>
    <x v="1"/>
  </r>
  <r>
    <x v="63"/>
    <x v="0"/>
  </r>
  <r>
    <x v="64"/>
    <x v="2"/>
  </r>
  <r>
    <x v="64"/>
    <x v="0"/>
  </r>
  <r>
    <x v="64"/>
    <x v="1"/>
  </r>
  <r>
    <x v="65"/>
    <x v="0"/>
  </r>
  <r>
    <x v="65"/>
    <x v="1"/>
  </r>
  <r>
    <x v="66"/>
    <x v="0"/>
  </r>
  <r>
    <x v="67"/>
    <x v="0"/>
  </r>
  <r>
    <x v="67"/>
    <x v="1"/>
  </r>
  <r>
    <x v="68"/>
    <x v="0"/>
  </r>
  <r>
    <x v="69"/>
    <x v="0"/>
  </r>
  <r>
    <x v="70"/>
    <x v="0"/>
  </r>
  <r>
    <x v="71"/>
    <x v="0"/>
  </r>
  <r>
    <x v="71"/>
    <x v="1"/>
  </r>
  <r>
    <x v="72"/>
    <x v="0"/>
  </r>
  <r>
    <x v="73"/>
    <x v="0"/>
  </r>
  <r>
    <x v="73"/>
    <x v="1"/>
  </r>
  <r>
    <x v="74"/>
    <x v="0"/>
  </r>
  <r>
    <x v="75"/>
    <x v="0"/>
  </r>
  <r>
    <x v="75"/>
    <x v="1"/>
  </r>
  <r>
    <x v="76"/>
    <x v="0"/>
  </r>
  <r>
    <x v="76"/>
    <x v="1"/>
  </r>
  <r>
    <x v="77"/>
    <x v="0"/>
  </r>
  <r>
    <x v="78"/>
    <x v="0"/>
  </r>
  <r>
    <x v="79"/>
    <x v="0"/>
  </r>
  <r>
    <x v="79"/>
    <x v="1"/>
  </r>
  <r>
    <x v="80"/>
    <x v="0"/>
  </r>
  <r>
    <x v="80"/>
    <x v="1"/>
  </r>
  <r>
    <x v="81"/>
    <x v="0"/>
  </r>
  <r>
    <x v="82"/>
    <x v="3"/>
  </r>
  <r>
    <x v="24"/>
    <x v="4"/>
  </r>
  <r>
    <x v="12"/>
    <x v="4"/>
  </r>
  <r>
    <x v="60"/>
    <x v="4"/>
  </r>
  <r>
    <x v="62"/>
    <x v="4"/>
  </r>
  <r>
    <x v="26"/>
    <x v="4"/>
  </r>
  <r>
    <x v="7"/>
    <x v="4"/>
  </r>
  <r>
    <x v="71"/>
    <x v="4"/>
  </r>
  <r>
    <x v="83"/>
    <x v="4"/>
  </r>
  <r>
    <x v="84"/>
    <x v="4"/>
  </r>
  <r>
    <x v="3"/>
    <x v="4"/>
  </r>
  <r>
    <x v="16"/>
    <x v="4"/>
  </r>
  <r>
    <x v="20"/>
    <x v="4"/>
  </r>
  <r>
    <x v="41"/>
    <x v="4"/>
  </r>
  <r>
    <x v="49"/>
    <x v="4"/>
  </r>
  <r>
    <x v="58"/>
    <x v="4"/>
  </r>
  <r>
    <x v="85"/>
    <x v="4"/>
  </r>
  <r>
    <x v="77"/>
    <x v="4"/>
  </r>
  <r>
    <x v="42"/>
    <x v="4"/>
  </r>
  <r>
    <x v="67"/>
    <x v="4"/>
  </r>
  <r>
    <x v="5"/>
    <x v="4"/>
  </r>
  <r>
    <x v="13"/>
    <x v="4"/>
  </r>
  <r>
    <x v="80"/>
    <x v="4"/>
  </r>
  <r>
    <x v="35"/>
    <x v="4"/>
  </r>
  <r>
    <x v="39"/>
    <x v="4"/>
  </r>
  <r>
    <x v="86"/>
    <x v="4"/>
  </r>
  <r>
    <x v="59"/>
    <x v="4"/>
  </r>
  <r>
    <x v="8"/>
    <x v="4"/>
  </r>
  <r>
    <x v="64"/>
    <x v="4"/>
  </r>
  <r>
    <x v="38"/>
    <x v="4"/>
  </r>
  <r>
    <x v="87"/>
    <x v="4"/>
  </r>
  <r>
    <x v="18"/>
    <x v="4"/>
  </r>
  <r>
    <x v="30"/>
    <x v="4"/>
  </r>
  <r>
    <x v="88"/>
    <x v="4"/>
  </r>
  <r>
    <x v="44"/>
    <x v="4"/>
  </r>
  <r>
    <x v="5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</r>
  <r>
    <x v="1"/>
    <x v="1"/>
  </r>
  <r>
    <x v="2"/>
    <x v="0"/>
  </r>
  <r>
    <x v="2"/>
    <x v="2"/>
  </r>
  <r>
    <x v="3"/>
    <x v="0"/>
  </r>
  <r>
    <x v="4"/>
    <x v="1"/>
  </r>
  <r>
    <x v="4"/>
    <x v="2"/>
  </r>
  <r>
    <x v="5"/>
    <x v="1"/>
  </r>
  <r>
    <x v="5"/>
    <x v="2"/>
  </r>
  <r>
    <x v="6"/>
    <x v="0"/>
  </r>
  <r>
    <x v="7"/>
    <x v="2"/>
  </r>
  <r>
    <x v="8"/>
    <x v="0"/>
  </r>
  <r>
    <x v="9"/>
    <x v="1"/>
  </r>
  <r>
    <x v="9"/>
    <x v="0"/>
  </r>
  <r>
    <x v="9"/>
    <x v="2"/>
  </r>
  <r>
    <x v="10"/>
    <x v="1"/>
  </r>
  <r>
    <x v="11"/>
    <x v="1"/>
  </r>
  <r>
    <x v="12"/>
    <x v="2"/>
  </r>
  <r>
    <x v="13"/>
    <x v="1"/>
  </r>
  <r>
    <x v="13"/>
    <x v="0"/>
  </r>
  <r>
    <x v="14"/>
    <x v="0"/>
  </r>
  <r>
    <x v="15"/>
    <x v="1"/>
  </r>
  <r>
    <x v="15"/>
    <x v="0"/>
  </r>
  <r>
    <x v="16"/>
    <x v="1"/>
  </r>
  <r>
    <x v="16"/>
    <x v="0"/>
  </r>
  <r>
    <x v="17"/>
    <x v="0"/>
  </r>
  <r>
    <x v="18"/>
    <x v="1"/>
  </r>
  <r>
    <x v="18"/>
    <x v="3"/>
  </r>
  <r>
    <x v="19"/>
    <x v="0"/>
  </r>
  <r>
    <x v="20"/>
    <x v="0"/>
  </r>
  <r>
    <x v="21"/>
    <x v="1"/>
  </r>
  <r>
    <x v="21"/>
    <x v="2"/>
  </r>
  <r>
    <x v="22"/>
    <x v="0"/>
  </r>
  <r>
    <x v="23"/>
    <x v="0"/>
  </r>
  <r>
    <x v="24"/>
    <x v="0"/>
  </r>
  <r>
    <x v="24"/>
    <x v="2"/>
  </r>
  <r>
    <x v="25"/>
    <x v="1"/>
  </r>
  <r>
    <x v="26"/>
    <x v="1"/>
  </r>
  <r>
    <x v="27"/>
    <x v="1"/>
  </r>
  <r>
    <x v="28"/>
    <x v="0"/>
  </r>
  <r>
    <x v="29"/>
    <x v="0"/>
  </r>
  <r>
    <x v="30"/>
    <x v="1"/>
  </r>
  <r>
    <x v="30"/>
    <x v="0"/>
  </r>
  <r>
    <x v="31"/>
    <x v="1"/>
  </r>
  <r>
    <x v="31"/>
    <x v="0"/>
  </r>
  <r>
    <x v="31"/>
    <x v="2"/>
  </r>
  <r>
    <x v="32"/>
    <x v="0"/>
  </r>
  <r>
    <x v="33"/>
    <x v="0"/>
  </r>
  <r>
    <x v="33"/>
    <x v="2"/>
  </r>
  <r>
    <x v="34"/>
    <x v="1"/>
  </r>
  <r>
    <x v="34"/>
    <x v="0"/>
  </r>
  <r>
    <x v="35"/>
    <x v="0"/>
  </r>
  <r>
    <x v="36"/>
    <x v="0"/>
  </r>
  <r>
    <x v="37"/>
    <x v="2"/>
  </r>
  <r>
    <x v="38"/>
    <x v="0"/>
  </r>
  <r>
    <x v="39"/>
    <x v="0"/>
  </r>
  <r>
    <x v="40"/>
    <x v="0"/>
  </r>
  <r>
    <x v="40"/>
    <x v="2"/>
  </r>
  <r>
    <x v="41"/>
    <x v="0"/>
  </r>
  <r>
    <x v="42"/>
    <x v="0"/>
  </r>
  <r>
    <x v="43"/>
    <x v="0"/>
  </r>
  <r>
    <x v="44"/>
    <x v="0"/>
  </r>
  <r>
    <x v="45"/>
    <x v="1"/>
  </r>
  <r>
    <x v="45"/>
    <x v="0"/>
  </r>
  <r>
    <x v="46"/>
    <x v="0"/>
  </r>
  <r>
    <x v="47"/>
    <x v="0"/>
  </r>
  <r>
    <x v="48"/>
    <x v="0"/>
  </r>
  <r>
    <x v="49"/>
    <x v="1"/>
  </r>
  <r>
    <x v="50"/>
    <x v="1"/>
  </r>
  <r>
    <x v="51"/>
    <x v="4"/>
  </r>
  <r>
    <x v="18"/>
    <x v="5"/>
  </r>
  <r>
    <x v="52"/>
    <x v="5"/>
  </r>
  <r>
    <x v="5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C632C-2B87-434A-A403-05800F7009D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8" firstHeaderRow="1" firstDataRow="1" firstDataCol="1" rowPageCount="1" colPageCount="1"/>
  <pivotFields count="2">
    <pivotField axis="axisRow" showAll="0">
      <items count="90">
        <item x="0"/>
        <item x="1"/>
        <item x="2"/>
        <item x="3"/>
        <item x="5"/>
        <item x="4"/>
        <item x="6"/>
        <item x="7"/>
        <item x="8"/>
        <item x="11"/>
        <item x="9"/>
        <item x="10"/>
        <item x="12"/>
        <item x="13"/>
        <item x="15"/>
        <item x="16"/>
        <item x="14"/>
        <item x="17"/>
        <item x="18"/>
        <item x="83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84"/>
        <item x="34"/>
        <item x="36"/>
        <item x="37"/>
        <item x="39"/>
        <item x="38"/>
        <item x="40"/>
        <item x="41"/>
        <item x="42"/>
        <item x="43"/>
        <item x="44"/>
        <item x="45"/>
        <item x="47"/>
        <item x="87"/>
        <item x="46"/>
        <item x="86"/>
        <item x="48"/>
        <item x="49"/>
        <item x="50"/>
        <item x="51"/>
        <item x="52"/>
        <item x="53"/>
        <item x="54"/>
        <item x="56"/>
        <item x="55"/>
        <item x="57"/>
        <item x="58"/>
        <item x="59"/>
        <item x="60"/>
        <item x="61"/>
        <item x="88"/>
        <item x="62"/>
        <item x="63"/>
        <item x="64"/>
        <item x="85"/>
        <item x="65"/>
        <item x="66"/>
        <item x="67"/>
        <item x="69"/>
        <item x="68"/>
        <item x="70"/>
        <item x="71"/>
        <item x="72"/>
        <item x="73"/>
        <item x="74"/>
        <item x="75"/>
        <item x="76"/>
        <item x="77"/>
        <item x="78"/>
        <item x="79"/>
        <item x="81"/>
        <item x="80"/>
        <item x="82"/>
        <item t="default"/>
      </items>
    </pivotField>
    <pivotField axis="axisPage" dataField="1" multipleItemSelectionAllowed="1" showAll="0">
      <items count="6">
        <item x="2"/>
        <item h="1" x="0"/>
        <item x="1"/>
        <item x="4"/>
        <item h="1" x="3"/>
        <item t="default"/>
      </items>
    </pivotField>
  </pivotFields>
  <rowFields count="1">
    <field x="0"/>
  </rowFields>
  <rowItems count="55">
    <i>
      <x v="1"/>
    </i>
    <i>
      <x v="3"/>
    </i>
    <i>
      <x v="4"/>
    </i>
    <i>
      <x v="5"/>
    </i>
    <i>
      <x v="7"/>
    </i>
    <i>
      <x v="8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5"/>
    </i>
    <i>
      <x v="27"/>
    </i>
    <i>
      <x v="29"/>
    </i>
    <i>
      <x v="31"/>
    </i>
    <i>
      <x v="35"/>
    </i>
    <i>
      <x v="36"/>
    </i>
    <i>
      <x v="38"/>
    </i>
    <i>
      <x v="39"/>
    </i>
    <i>
      <x v="40"/>
    </i>
    <i>
      <x v="41"/>
    </i>
    <i>
      <x v="43"/>
    </i>
    <i>
      <x v="44"/>
    </i>
    <i>
      <x v="46"/>
    </i>
    <i>
      <x v="47"/>
    </i>
    <i>
      <x v="49"/>
    </i>
    <i>
      <x v="50"/>
    </i>
    <i>
      <x v="51"/>
    </i>
    <i>
      <x v="52"/>
    </i>
    <i>
      <x v="53"/>
    </i>
    <i>
      <x v="55"/>
    </i>
    <i>
      <x v="57"/>
    </i>
    <i>
      <x v="61"/>
    </i>
    <i>
      <x v="62"/>
    </i>
    <i>
      <x v="63"/>
    </i>
    <i>
      <x v="64"/>
    </i>
    <i>
      <x v="66"/>
    </i>
    <i>
      <x v="67"/>
    </i>
    <i>
      <x v="69"/>
    </i>
    <i>
      <x v="70"/>
    </i>
    <i>
      <x v="71"/>
    </i>
    <i>
      <x v="73"/>
    </i>
    <i>
      <x v="77"/>
    </i>
    <i>
      <x v="79"/>
    </i>
    <i>
      <x v="81"/>
    </i>
    <i>
      <x v="82"/>
    </i>
    <i>
      <x v="83"/>
    </i>
    <i>
      <x v="85"/>
    </i>
    <i>
      <x v="87"/>
    </i>
    <i t="grand">
      <x/>
    </i>
  </rowItems>
  <colItems count="1">
    <i/>
  </colItems>
  <pageFields count="1">
    <pageField fld="1" hier="-1"/>
  </pageFields>
  <dataFields count="1">
    <dataField name="Cuenta de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0D396-4B07-4795-BF44-3EE63E1536DD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3" firstHeaderRow="1" firstDataRow="1" firstDataCol="1" rowPageCount="1" colPageCount="1"/>
  <pivotFields count="2">
    <pivotField axis="axisRow" showAll="0">
      <items count="55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52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53"/>
        <item x="35"/>
        <item x="36"/>
        <item x="37"/>
        <item x="39"/>
        <item x="38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t="default"/>
      </items>
    </pivotField>
    <pivotField axis="axisPage" dataField="1" multipleItemSelectionAllowed="1" showAll="0">
      <items count="7">
        <item x="1"/>
        <item h="1" x="0"/>
        <item x="2"/>
        <item x="5"/>
        <item x="3"/>
        <item h="1" x="4"/>
        <item t="default"/>
      </items>
    </pivotField>
  </pivotFields>
  <rowFields count="1">
    <field x="0"/>
  </rowFields>
  <rowItems count="30">
    <i>
      <x v="1"/>
    </i>
    <i>
      <x v="3"/>
    </i>
    <i>
      <x v="4"/>
    </i>
    <i>
      <x v="5"/>
    </i>
    <i>
      <x v="7"/>
    </i>
    <i>
      <x v="9"/>
    </i>
    <i>
      <x v="10"/>
    </i>
    <i>
      <x v="11"/>
    </i>
    <i>
      <x v="12"/>
    </i>
    <i>
      <x v="13"/>
    </i>
    <i>
      <x v="15"/>
    </i>
    <i>
      <x v="16"/>
    </i>
    <i>
      <x v="18"/>
    </i>
    <i>
      <x v="20"/>
    </i>
    <i>
      <x v="22"/>
    </i>
    <i>
      <x v="25"/>
    </i>
    <i>
      <x v="26"/>
    </i>
    <i>
      <x v="27"/>
    </i>
    <i>
      <x v="28"/>
    </i>
    <i>
      <x v="31"/>
    </i>
    <i>
      <x v="32"/>
    </i>
    <i>
      <x v="34"/>
    </i>
    <i>
      <x v="35"/>
    </i>
    <i>
      <x v="36"/>
    </i>
    <i>
      <x v="39"/>
    </i>
    <i>
      <x v="42"/>
    </i>
    <i>
      <x v="47"/>
    </i>
    <i>
      <x v="51"/>
    </i>
    <i>
      <x v="52"/>
    </i>
    <i t="grand">
      <x/>
    </i>
  </rowItems>
  <colItems count="1">
    <i/>
  </colItems>
  <pageFields count="1">
    <pageField fld="1" hier="-1"/>
  </pageFields>
  <dataFields count="1">
    <dataField name="Cuenta de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AB5E-3476-4584-BD6D-E46453251908}">
  <dimension ref="B3:I10"/>
  <sheetViews>
    <sheetView tabSelected="1" workbookViewId="0">
      <selection activeCell="Q11" sqref="Q11"/>
    </sheetView>
  </sheetViews>
  <sheetFormatPr baseColWidth="10" defaultRowHeight="15" x14ac:dyDescent="0.25"/>
  <cols>
    <col min="2" max="2" width="19.28515625" bestFit="1" customWidth="1"/>
    <col min="5" max="5" width="19.28515625" bestFit="1" customWidth="1"/>
    <col min="6" max="6" width="9.140625" bestFit="1" customWidth="1"/>
  </cols>
  <sheetData>
    <row r="3" spans="2:9" x14ac:dyDescent="0.25">
      <c r="B3" t="s">
        <v>5</v>
      </c>
      <c r="E3" t="s">
        <v>8</v>
      </c>
    </row>
    <row r="4" spans="2:9" x14ac:dyDescent="0.25">
      <c r="B4" s="1" t="s">
        <v>0</v>
      </c>
      <c r="C4" s="1" t="s">
        <v>117</v>
      </c>
      <c r="E4" s="1" t="s">
        <v>0</v>
      </c>
      <c r="F4" s="1" t="s">
        <v>117</v>
      </c>
    </row>
    <row r="5" spans="2:9" x14ac:dyDescent="0.25">
      <c r="B5" s="1" t="s">
        <v>2</v>
      </c>
      <c r="C5">
        <v>215</v>
      </c>
      <c r="E5" s="1" t="s">
        <v>2</v>
      </c>
      <c r="F5">
        <v>3434</v>
      </c>
    </row>
    <row r="6" spans="2:9" x14ac:dyDescent="0.25">
      <c r="B6" s="1" t="s">
        <v>3</v>
      </c>
      <c r="C6">
        <v>1836</v>
      </c>
      <c r="E6" s="1" t="s">
        <v>3</v>
      </c>
      <c r="F6">
        <v>436</v>
      </c>
      <c r="H6" s="1" t="s">
        <v>0</v>
      </c>
      <c r="I6" s="1" t="s">
        <v>117</v>
      </c>
    </row>
    <row r="7" spans="2:9" x14ac:dyDescent="0.25">
      <c r="B7" s="1" t="s">
        <v>4</v>
      </c>
      <c r="C7">
        <v>1785</v>
      </c>
      <c r="E7" s="1" t="s">
        <v>4</v>
      </c>
      <c r="F7">
        <v>334</v>
      </c>
      <c r="H7" s="1" t="s">
        <v>2</v>
      </c>
      <c r="I7">
        <v>3434</v>
      </c>
    </row>
    <row r="8" spans="2:9" x14ac:dyDescent="0.25">
      <c r="B8" s="4" t="s">
        <v>116</v>
      </c>
      <c r="C8">
        <v>25716308</v>
      </c>
      <c r="E8" s="1" t="s">
        <v>6</v>
      </c>
      <c r="F8">
        <v>4</v>
      </c>
      <c r="H8" s="1" t="s">
        <v>4</v>
      </c>
      <c r="I8">
        <v>334</v>
      </c>
    </row>
    <row r="9" spans="2:9" x14ac:dyDescent="0.25">
      <c r="E9" s="1" t="s">
        <v>7</v>
      </c>
      <c r="F9">
        <v>344</v>
      </c>
      <c r="H9" s="1" t="s">
        <v>6</v>
      </c>
      <c r="I9">
        <v>4</v>
      </c>
    </row>
    <row r="10" spans="2:9" x14ac:dyDescent="0.25">
      <c r="E10" s="7" t="s">
        <v>116</v>
      </c>
      <c r="F10">
        <v>170895</v>
      </c>
      <c r="H10" s="1" t="s">
        <v>7</v>
      </c>
      <c r="I10">
        <v>344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0B50-A390-4838-A45C-359316F3982F}">
  <dimension ref="B2:I161"/>
  <sheetViews>
    <sheetView topLeftCell="A79" workbookViewId="0">
      <selection activeCell="F77" sqref="F77:F86"/>
    </sheetView>
  </sheetViews>
  <sheetFormatPr baseColWidth="10" defaultRowHeight="15" x14ac:dyDescent="0.25"/>
  <cols>
    <col min="2" max="2" width="70.7109375" bestFit="1" customWidth="1"/>
    <col min="3" max="3" width="19.28515625" bestFit="1" customWidth="1"/>
    <col min="4" max="4" width="8.42578125" bestFit="1" customWidth="1"/>
    <col min="6" max="6" width="68.140625" bestFit="1" customWidth="1"/>
    <col min="7" max="7" width="19.28515625" bestFit="1" customWidth="1"/>
  </cols>
  <sheetData>
    <row r="2" spans="2:9" x14ac:dyDescent="0.25">
      <c r="B2" t="s">
        <v>92</v>
      </c>
      <c r="F2" t="s">
        <v>8</v>
      </c>
    </row>
    <row r="3" spans="2:9" x14ac:dyDescent="0.25">
      <c r="B3" s="1" t="s">
        <v>9</v>
      </c>
      <c r="C3" s="1" t="s">
        <v>0</v>
      </c>
      <c r="D3" s="1" t="s">
        <v>1</v>
      </c>
      <c r="F3" s="1" t="s">
        <v>9</v>
      </c>
      <c r="G3" s="1" t="s">
        <v>0</v>
      </c>
      <c r="H3" s="1" t="s">
        <v>1</v>
      </c>
      <c r="I3" s="2" t="s">
        <v>105</v>
      </c>
    </row>
    <row r="4" spans="2:9" x14ac:dyDescent="0.25">
      <c r="B4" s="1" t="s">
        <v>10</v>
      </c>
      <c r="C4" s="1" t="s">
        <v>3</v>
      </c>
      <c r="D4">
        <v>6</v>
      </c>
      <c r="F4" s="1" t="s">
        <v>13</v>
      </c>
      <c r="G4" s="1" t="s">
        <v>3</v>
      </c>
      <c r="H4">
        <v>16</v>
      </c>
      <c r="I4" t="str">
        <f>IF(AND(COUNTIF($B:$B, F4)=0, G4&lt;&gt;"MME"), "YES", "NO")</f>
        <v>NO</v>
      </c>
    </row>
    <row r="5" spans="2:9" x14ac:dyDescent="0.25">
      <c r="B5" s="1" t="s">
        <v>11</v>
      </c>
      <c r="C5" s="1" t="s">
        <v>4</v>
      </c>
      <c r="D5">
        <v>2</v>
      </c>
      <c r="F5" s="1" t="s">
        <v>18</v>
      </c>
      <c r="G5" s="1" t="s">
        <v>2</v>
      </c>
      <c r="H5">
        <v>578</v>
      </c>
      <c r="I5" t="str">
        <f t="shared" ref="I5:I68" si="0">IF(AND(COUNTIF($B:$B, F5)=0, G5&lt;&gt;"MME"), "YES", "NO")</f>
        <v>NO</v>
      </c>
    </row>
    <row r="6" spans="2:9" x14ac:dyDescent="0.25">
      <c r="B6" s="1" t="s">
        <v>12</v>
      </c>
      <c r="C6" s="1" t="s">
        <v>3</v>
      </c>
      <c r="D6">
        <v>26</v>
      </c>
      <c r="F6" s="3" t="s">
        <v>19</v>
      </c>
      <c r="G6" s="1" t="s">
        <v>3</v>
      </c>
      <c r="H6">
        <v>4</v>
      </c>
      <c r="I6" t="str">
        <f t="shared" si="0"/>
        <v>NO</v>
      </c>
    </row>
    <row r="7" spans="2:9" x14ac:dyDescent="0.25">
      <c r="B7" s="3" t="s">
        <v>13</v>
      </c>
      <c r="C7" s="1" t="s">
        <v>3</v>
      </c>
      <c r="D7">
        <v>54</v>
      </c>
      <c r="F7" s="3" t="str">
        <f>F6</f>
        <v>Cabo De Palos - Islas Hormigas</v>
      </c>
      <c r="G7" s="1" t="s">
        <v>4</v>
      </c>
      <c r="H7">
        <v>354</v>
      </c>
      <c r="I7" t="str">
        <f t="shared" si="0"/>
        <v>NO</v>
      </c>
    </row>
    <row r="8" spans="2:9" x14ac:dyDescent="0.25">
      <c r="B8" s="3" t="str">
        <f>B7</f>
        <v>Archipielago de Cabrera</v>
      </c>
      <c r="C8" s="1" t="s">
        <v>4</v>
      </c>
      <c r="D8">
        <v>30</v>
      </c>
      <c r="F8" s="1" t="s">
        <v>21</v>
      </c>
      <c r="G8" s="1" t="s">
        <v>3</v>
      </c>
      <c r="H8">
        <v>6</v>
      </c>
      <c r="I8" t="str">
        <f t="shared" si="0"/>
        <v>NO</v>
      </c>
    </row>
    <row r="9" spans="2:9" x14ac:dyDescent="0.25">
      <c r="B9" s="3" t="s">
        <v>14</v>
      </c>
      <c r="C9" s="1" t="s">
        <v>3</v>
      </c>
      <c r="D9">
        <v>32</v>
      </c>
      <c r="F9" s="3" t="s">
        <v>22</v>
      </c>
      <c r="G9" s="1" t="s">
        <v>2</v>
      </c>
      <c r="H9">
        <v>72</v>
      </c>
      <c r="I9" t="str">
        <f t="shared" si="0"/>
        <v>NO</v>
      </c>
    </row>
    <row r="10" spans="2:9" x14ac:dyDescent="0.25">
      <c r="B10" s="3" t="str">
        <f>B9</f>
        <v>Arcipelago Toscano</v>
      </c>
      <c r="C10" s="1" t="s">
        <v>4</v>
      </c>
      <c r="D10">
        <v>6</v>
      </c>
      <c r="F10" s="3" t="str">
        <f>F9</f>
        <v>Calanques</v>
      </c>
      <c r="G10" s="1" t="s">
        <v>4</v>
      </c>
      <c r="H10">
        <v>2</v>
      </c>
      <c r="I10" t="str">
        <f t="shared" si="0"/>
        <v>NO</v>
      </c>
    </row>
    <row r="11" spans="2:9" x14ac:dyDescent="0.25">
      <c r="B11" s="3" t="s">
        <v>15</v>
      </c>
      <c r="C11" s="1" t="s">
        <v>3</v>
      </c>
      <c r="D11">
        <v>6</v>
      </c>
      <c r="F11" s="3" t="s">
        <v>26</v>
      </c>
      <c r="G11" s="1" t="s">
        <v>2</v>
      </c>
      <c r="H11">
        <v>220</v>
      </c>
      <c r="I11" t="str">
        <f t="shared" si="0"/>
        <v>NO</v>
      </c>
    </row>
    <row r="12" spans="2:9" x14ac:dyDescent="0.25">
      <c r="B12" s="3" t="str">
        <f>B11</f>
        <v>Arcipelago di La Maddalena</v>
      </c>
      <c r="C12" s="1" t="s">
        <v>4</v>
      </c>
      <c r="D12">
        <v>8</v>
      </c>
      <c r="F12" s="3" t="str">
        <f>F11</f>
        <v>Cap de Creus</v>
      </c>
      <c r="G12" s="1" t="s">
        <v>4</v>
      </c>
      <c r="H12">
        <v>14</v>
      </c>
      <c r="I12" t="str">
        <f t="shared" si="0"/>
        <v>NO</v>
      </c>
    </row>
    <row r="13" spans="2:9" x14ac:dyDescent="0.25">
      <c r="B13" s="1" t="s">
        <v>16</v>
      </c>
      <c r="C13" s="1" t="s">
        <v>3</v>
      </c>
      <c r="D13">
        <v>6</v>
      </c>
      <c r="F13" s="1" t="s">
        <v>28</v>
      </c>
      <c r="G13" s="1" t="s">
        <v>3</v>
      </c>
      <c r="H13">
        <v>4</v>
      </c>
      <c r="I13" t="str">
        <f t="shared" si="0"/>
        <v>NO</v>
      </c>
    </row>
    <row r="14" spans="2:9" x14ac:dyDescent="0.25">
      <c r="B14" s="3" t="s">
        <v>17</v>
      </c>
      <c r="C14" s="1" t="s">
        <v>3</v>
      </c>
      <c r="D14">
        <v>46</v>
      </c>
      <c r="F14" s="1" t="s">
        <v>93</v>
      </c>
      <c r="G14" s="1" t="s">
        <v>4</v>
      </c>
      <c r="H14">
        <v>52</v>
      </c>
      <c r="I14" t="str">
        <f t="shared" si="0"/>
        <v>NO</v>
      </c>
    </row>
    <row r="15" spans="2:9" x14ac:dyDescent="0.25">
      <c r="B15" s="3" t="str">
        <f>B14</f>
        <v>Bouches De Bonifacio</v>
      </c>
      <c r="C15" s="1" t="s">
        <v>4</v>
      </c>
      <c r="D15">
        <v>50</v>
      </c>
      <c r="F15" s="1" t="s">
        <v>94</v>
      </c>
      <c r="G15" s="1" t="s">
        <v>3</v>
      </c>
      <c r="H15">
        <v>2</v>
      </c>
      <c r="I15" t="str">
        <f t="shared" si="0"/>
        <v>NO</v>
      </c>
    </row>
    <row r="16" spans="2:9" x14ac:dyDescent="0.25">
      <c r="B16" s="1" t="s">
        <v>18</v>
      </c>
      <c r="C16" s="1" t="s">
        <v>4</v>
      </c>
      <c r="D16">
        <v>264</v>
      </c>
      <c r="F16" s="3" t="s">
        <v>36</v>
      </c>
      <c r="G16" s="1" t="s">
        <v>2</v>
      </c>
      <c r="H16">
        <v>8</v>
      </c>
      <c r="I16" t="str">
        <f t="shared" si="0"/>
        <v>NO</v>
      </c>
    </row>
    <row r="17" spans="2:9" x14ac:dyDescent="0.25">
      <c r="B17" s="1" t="s">
        <v>19</v>
      </c>
      <c r="C17" s="1" t="s">
        <v>3</v>
      </c>
      <c r="D17">
        <v>4</v>
      </c>
      <c r="F17" s="3" t="str">
        <f t="shared" ref="F17:F18" si="1">F16</f>
        <v>Del Montgri, les Illes Medes i el Baix Ter</v>
      </c>
      <c r="G17" s="1" t="s">
        <v>3</v>
      </c>
      <c r="H17">
        <v>24</v>
      </c>
      <c r="I17" t="str">
        <f t="shared" si="0"/>
        <v>NO</v>
      </c>
    </row>
    <row r="18" spans="2:9" x14ac:dyDescent="0.25">
      <c r="B18" s="1" t="s">
        <v>20</v>
      </c>
      <c r="C18" s="1" t="s">
        <v>3</v>
      </c>
      <c r="D18">
        <v>2</v>
      </c>
      <c r="F18" s="3" t="str">
        <f t="shared" si="1"/>
        <v>Del Montgri, les Illes Medes i el Baix Ter</v>
      </c>
      <c r="G18" s="1" t="s">
        <v>4</v>
      </c>
      <c r="H18">
        <v>42</v>
      </c>
      <c r="I18" t="str">
        <f t="shared" si="0"/>
        <v>NO</v>
      </c>
    </row>
    <row r="19" spans="2:9" x14ac:dyDescent="0.25">
      <c r="B19" s="1" t="s">
        <v>21</v>
      </c>
      <c r="C19" s="1" t="s">
        <v>3</v>
      </c>
      <c r="D19">
        <v>10</v>
      </c>
      <c r="F19" s="1" t="s">
        <v>38</v>
      </c>
      <c r="G19" s="1" t="s">
        <v>2</v>
      </c>
      <c r="H19">
        <v>8</v>
      </c>
      <c r="I19" t="str">
        <f t="shared" si="0"/>
        <v>NO</v>
      </c>
    </row>
    <row r="20" spans="2:9" x14ac:dyDescent="0.25">
      <c r="B20" s="3" t="s">
        <v>22</v>
      </c>
      <c r="C20" s="1" t="s">
        <v>3</v>
      </c>
      <c r="D20">
        <v>118</v>
      </c>
      <c r="F20" s="1" t="s">
        <v>95</v>
      </c>
      <c r="G20" s="1" t="s">
        <v>2</v>
      </c>
      <c r="H20">
        <v>8</v>
      </c>
      <c r="I20" t="str">
        <f t="shared" si="0"/>
        <v>YES</v>
      </c>
    </row>
    <row r="21" spans="2:9" x14ac:dyDescent="0.25">
      <c r="B21" s="3" t="str">
        <f>B20</f>
        <v>Calanques</v>
      </c>
      <c r="C21" s="1" t="s">
        <v>4</v>
      </c>
      <c r="D21">
        <v>698</v>
      </c>
      <c r="F21" s="1" t="s">
        <v>96</v>
      </c>
      <c r="G21" s="1" t="s">
        <v>4</v>
      </c>
      <c r="H21">
        <v>74</v>
      </c>
      <c r="I21" t="str">
        <f t="shared" si="0"/>
        <v>NO</v>
      </c>
    </row>
    <row r="22" spans="2:9" x14ac:dyDescent="0.25">
      <c r="B22" s="1" t="s">
        <v>23</v>
      </c>
      <c r="C22" s="1" t="s">
        <v>3</v>
      </c>
      <c r="D22">
        <v>2</v>
      </c>
      <c r="F22" s="3" t="s">
        <v>48</v>
      </c>
      <c r="G22" s="1" t="s">
        <v>2</v>
      </c>
      <c r="H22">
        <v>144</v>
      </c>
      <c r="I22" t="str">
        <f t="shared" si="0"/>
        <v>NO</v>
      </c>
    </row>
    <row r="23" spans="2:9" x14ac:dyDescent="0.25">
      <c r="B23" s="3" t="s">
        <v>24</v>
      </c>
      <c r="C23" s="1" t="s">
        <v>3</v>
      </c>
      <c r="D23">
        <v>6</v>
      </c>
      <c r="F23" s="3" t="str">
        <f>F22</f>
        <v>Illa de Tabarca</v>
      </c>
      <c r="G23" s="1" t="s">
        <v>3</v>
      </c>
      <c r="H23">
        <v>2</v>
      </c>
      <c r="I23" t="str">
        <f t="shared" si="0"/>
        <v>NO</v>
      </c>
    </row>
    <row r="24" spans="2:9" x14ac:dyDescent="0.25">
      <c r="B24" s="3" t="str">
        <f>B23</f>
        <v>Cap Lindles</v>
      </c>
      <c r="C24" s="1" t="s">
        <v>4</v>
      </c>
      <c r="D24">
        <v>4</v>
      </c>
      <c r="F24" s="1" t="s">
        <v>54</v>
      </c>
      <c r="G24" s="1" t="s">
        <v>3</v>
      </c>
      <c r="H24">
        <v>6</v>
      </c>
      <c r="I24" t="str">
        <f t="shared" si="0"/>
        <v>NO</v>
      </c>
    </row>
    <row r="25" spans="2:9" x14ac:dyDescent="0.25">
      <c r="B25" s="1" t="s">
        <v>25</v>
      </c>
      <c r="C25" s="1" t="s">
        <v>3</v>
      </c>
      <c r="D25">
        <v>2</v>
      </c>
      <c r="F25" s="3" t="s">
        <v>55</v>
      </c>
      <c r="G25" s="1" t="s">
        <v>2</v>
      </c>
      <c r="H25">
        <v>438</v>
      </c>
      <c r="I25" t="str">
        <f t="shared" si="0"/>
        <v>NO</v>
      </c>
    </row>
    <row r="26" spans="2:9" x14ac:dyDescent="0.25">
      <c r="B26" s="3" t="s">
        <v>26</v>
      </c>
      <c r="C26" s="1" t="s">
        <v>3</v>
      </c>
      <c r="D26">
        <v>174</v>
      </c>
      <c r="F26" s="3" t="str">
        <f>F25</f>
        <v>Isola di Ustica</v>
      </c>
      <c r="G26" s="1" t="s">
        <v>3</v>
      </c>
      <c r="H26">
        <v>2</v>
      </c>
      <c r="I26" t="str">
        <f t="shared" si="0"/>
        <v>NO</v>
      </c>
    </row>
    <row r="27" spans="2:9" x14ac:dyDescent="0.25">
      <c r="B27" s="3" t="str">
        <f>B26</f>
        <v>Cap de Creus</v>
      </c>
      <c r="C27" s="1" t="s">
        <v>4</v>
      </c>
      <c r="D27">
        <v>376</v>
      </c>
      <c r="F27" s="3" t="s">
        <v>97</v>
      </c>
      <c r="G27" s="1" t="s">
        <v>2</v>
      </c>
      <c r="H27">
        <v>216</v>
      </c>
      <c r="I27" t="str">
        <f t="shared" si="0"/>
        <v>NO</v>
      </c>
    </row>
    <row r="28" spans="2:9" x14ac:dyDescent="0.25">
      <c r="B28" s="3" t="s">
        <v>27</v>
      </c>
      <c r="C28" s="1" t="s">
        <v>3</v>
      </c>
      <c r="D28">
        <v>4</v>
      </c>
      <c r="F28" s="3" t="str">
        <f>F27</f>
        <v>Isole Pelagie</v>
      </c>
      <c r="G28" s="1" t="s">
        <v>3</v>
      </c>
      <c r="H28">
        <v>6</v>
      </c>
      <c r="I28" t="str">
        <f t="shared" si="0"/>
        <v>NO</v>
      </c>
    </row>
    <row r="29" spans="2:9" x14ac:dyDescent="0.25">
      <c r="B29" s="3" t="str">
        <f>B28</f>
        <v>Capo Caccia - Isola Piana</v>
      </c>
      <c r="C29" s="1" t="s">
        <v>4</v>
      </c>
      <c r="D29">
        <v>2</v>
      </c>
      <c r="F29" s="1" t="s">
        <v>56</v>
      </c>
      <c r="G29" s="1" t="s">
        <v>3</v>
      </c>
      <c r="H29">
        <v>2</v>
      </c>
      <c r="I29" t="str">
        <f t="shared" si="0"/>
        <v>NO</v>
      </c>
    </row>
    <row r="30" spans="2:9" x14ac:dyDescent="0.25">
      <c r="B30" s="3" t="s">
        <v>28</v>
      </c>
      <c r="C30" s="1" t="s">
        <v>3</v>
      </c>
      <c r="D30">
        <v>6</v>
      </c>
      <c r="F30" s="3" t="s">
        <v>58</v>
      </c>
      <c r="G30" s="1" t="s">
        <v>2</v>
      </c>
      <c r="H30">
        <v>28</v>
      </c>
      <c r="I30" t="str">
        <f t="shared" si="0"/>
        <v>NO</v>
      </c>
    </row>
    <row r="31" spans="2:9" x14ac:dyDescent="0.25">
      <c r="B31" s="3" t="str">
        <f>B30</f>
        <v>Capo Carbonara</v>
      </c>
      <c r="C31" s="1" t="s">
        <v>4</v>
      </c>
      <c r="D31">
        <v>6</v>
      </c>
      <c r="F31" s="3" t="str">
        <f>F30</f>
        <v>Kavo Gkreko</v>
      </c>
      <c r="G31" s="1" t="s">
        <v>7</v>
      </c>
      <c r="H31">
        <v>688</v>
      </c>
      <c r="I31" t="str">
        <f t="shared" si="0"/>
        <v>NO</v>
      </c>
    </row>
    <row r="32" spans="2:9" x14ac:dyDescent="0.25">
      <c r="B32" s="3" t="s">
        <v>29</v>
      </c>
      <c r="C32" s="1" t="s">
        <v>3</v>
      </c>
      <c r="D32">
        <v>20</v>
      </c>
      <c r="F32" s="1" t="s">
        <v>59</v>
      </c>
      <c r="G32" s="1" t="s">
        <v>3</v>
      </c>
      <c r="H32">
        <v>6</v>
      </c>
      <c r="I32" t="str">
        <f t="shared" si="0"/>
        <v>NO</v>
      </c>
    </row>
    <row r="33" spans="2:9" x14ac:dyDescent="0.25">
      <c r="B33" s="3" t="str">
        <f>B32</f>
        <v>Cinque Terre</v>
      </c>
      <c r="C33" s="1" t="s">
        <v>4</v>
      </c>
      <c r="D33">
        <v>24</v>
      </c>
      <c r="F33" s="1" t="s">
        <v>60</v>
      </c>
      <c r="G33" s="1" t="s">
        <v>3</v>
      </c>
      <c r="H33">
        <v>2</v>
      </c>
      <c r="I33" t="str">
        <f t="shared" si="0"/>
        <v>NO</v>
      </c>
    </row>
    <row r="34" spans="2:9" x14ac:dyDescent="0.25">
      <c r="B34" s="3" t="s">
        <v>30</v>
      </c>
      <c r="C34" s="1" t="s">
        <v>3</v>
      </c>
      <c r="D34">
        <v>76</v>
      </c>
      <c r="F34" s="3" t="s">
        <v>61</v>
      </c>
      <c r="G34" s="1" t="s">
        <v>2</v>
      </c>
      <c r="H34">
        <v>24</v>
      </c>
      <c r="I34" t="str">
        <f t="shared" si="0"/>
        <v>NO</v>
      </c>
    </row>
    <row r="35" spans="2:9" x14ac:dyDescent="0.25">
      <c r="B35" s="3" t="str">
        <f>B34</f>
        <v>Corredor de Migracion de Cetaceos del Mediterraneo</v>
      </c>
      <c r="C35" s="1" t="s">
        <v>4</v>
      </c>
      <c r="D35">
        <v>14</v>
      </c>
      <c r="F35" s="3" t="str">
        <f>F34</f>
        <v>Litoral del Baix Empordà</v>
      </c>
      <c r="G35" s="1" t="s">
        <v>4</v>
      </c>
      <c r="H35">
        <v>28</v>
      </c>
      <c r="I35" t="str">
        <f t="shared" si="0"/>
        <v>NO</v>
      </c>
    </row>
    <row r="36" spans="2:9" x14ac:dyDescent="0.25">
      <c r="B36" s="1" t="s">
        <v>31</v>
      </c>
      <c r="C36" s="1" t="s">
        <v>4</v>
      </c>
      <c r="D36">
        <v>2</v>
      </c>
      <c r="F36" s="1" t="s">
        <v>63</v>
      </c>
      <c r="G36" s="1" t="s">
        <v>3</v>
      </c>
      <c r="H36">
        <v>4</v>
      </c>
      <c r="I36" t="str">
        <f t="shared" si="0"/>
        <v>NO</v>
      </c>
    </row>
    <row r="37" spans="2:9" x14ac:dyDescent="0.25">
      <c r="B37" s="1" t="s">
        <v>32</v>
      </c>
      <c r="C37" s="1" t="s">
        <v>3</v>
      </c>
      <c r="D37">
        <v>8</v>
      </c>
      <c r="F37" s="1" t="s">
        <v>98</v>
      </c>
      <c r="G37" s="1" t="s">
        <v>3</v>
      </c>
      <c r="H37">
        <v>2</v>
      </c>
      <c r="I37" t="str">
        <f t="shared" si="0"/>
        <v>NO</v>
      </c>
    </row>
    <row r="38" spans="2:9" x14ac:dyDescent="0.25">
      <c r="B38" s="1" t="s">
        <v>33</v>
      </c>
      <c r="C38" s="1" t="s">
        <v>3</v>
      </c>
      <c r="D38">
        <v>6</v>
      </c>
      <c r="F38" s="3" t="s">
        <v>64</v>
      </c>
      <c r="G38" s="1" t="s">
        <v>3</v>
      </c>
      <c r="H38">
        <v>14</v>
      </c>
      <c r="I38" t="str">
        <f t="shared" si="0"/>
        <v>NO</v>
      </c>
    </row>
    <row r="39" spans="2:9" x14ac:dyDescent="0.25">
      <c r="B39" s="1" t="s">
        <v>34</v>
      </c>
      <c r="C39" s="1" t="s">
        <v>4</v>
      </c>
      <c r="D39">
        <v>6</v>
      </c>
      <c r="F39" s="3" t="str">
        <f>F38</f>
        <v>Mar Menor and Oriental Mediterranean zone of the Region of Murcia coast</v>
      </c>
      <c r="G39" s="1" t="s">
        <v>4</v>
      </c>
      <c r="H39">
        <v>354</v>
      </c>
      <c r="I39" t="str">
        <f t="shared" si="0"/>
        <v>NO</v>
      </c>
    </row>
    <row r="40" spans="2:9" x14ac:dyDescent="0.25">
      <c r="B40" s="1" t="s">
        <v>35</v>
      </c>
      <c r="C40" s="1" t="s">
        <v>3</v>
      </c>
      <c r="D40">
        <v>2</v>
      </c>
      <c r="F40" s="1" t="s">
        <v>99</v>
      </c>
      <c r="G40" s="1" t="s">
        <v>2</v>
      </c>
      <c r="H40">
        <v>1604</v>
      </c>
      <c r="I40" t="str">
        <f t="shared" si="0"/>
        <v>YES</v>
      </c>
    </row>
    <row r="41" spans="2:9" x14ac:dyDescent="0.25">
      <c r="B41" s="3" t="s">
        <v>36</v>
      </c>
      <c r="C41" s="1" t="s">
        <v>3</v>
      </c>
      <c r="D41">
        <v>240</v>
      </c>
      <c r="F41" s="1" t="s">
        <v>100</v>
      </c>
      <c r="G41" s="1" t="s">
        <v>2</v>
      </c>
      <c r="H41">
        <v>800</v>
      </c>
      <c r="I41" t="str">
        <f t="shared" si="0"/>
        <v>YES</v>
      </c>
    </row>
    <row r="42" spans="2:9" x14ac:dyDescent="0.25">
      <c r="B42" s="3" t="str">
        <f>B41</f>
        <v>Del Montgri, les Illes Medes i el Baix Ter</v>
      </c>
      <c r="C42" s="1" t="s">
        <v>4</v>
      </c>
      <c r="D42">
        <v>312</v>
      </c>
      <c r="F42" s="1" t="s">
        <v>101</v>
      </c>
      <c r="G42" s="1" t="s">
        <v>2</v>
      </c>
      <c r="H42">
        <v>804</v>
      </c>
      <c r="I42" t="str">
        <f t="shared" si="0"/>
        <v>YES</v>
      </c>
    </row>
    <row r="43" spans="2:9" x14ac:dyDescent="0.25">
      <c r="B43" s="1" t="s">
        <v>37</v>
      </c>
      <c r="C43" s="1" t="s">
        <v>3</v>
      </c>
      <c r="D43">
        <v>4</v>
      </c>
      <c r="F43" s="1" t="s">
        <v>67</v>
      </c>
      <c r="G43" s="1" t="s">
        <v>3</v>
      </c>
      <c r="H43">
        <v>4</v>
      </c>
      <c r="I43" t="str">
        <f t="shared" si="0"/>
        <v>NO</v>
      </c>
    </row>
    <row r="44" spans="2:9" x14ac:dyDescent="0.25">
      <c r="B44" s="3" t="s">
        <v>38</v>
      </c>
      <c r="C44" s="1" t="s">
        <v>3</v>
      </c>
      <c r="D44">
        <v>16</v>
      </c>
      <c r="F44" s="1" t="s">
        <v>68</v>
      </c>
      <c r="G44" s="1" t="s">
        <v>3</v>
      </c>
      <c r="H44">
        <v>20</v>
      </c>
      <c r="I44" t="str">
        <f t="shared" si="0"/>
        <v>NO</v>
      </c>
    </row>
    <row r="45" spans="2:9" x14ac:dyDescent="0.25">
      <c r="B45" s="3" t="str">
        <f>B44</f>
        <v>Espacio marino de l'Empordà</v>
      </c>
      <c r="C45" s="1" t="s">
        <v>4</v>
      </c>
      <c r="D45">
        <v>42</v>
      </c>
      <c r="F45" s="3" t="s">
        <v>69</v>
      </c>
      <c r="G45" s="1" t="s">
        <v>2</v>
      </c>
      <c r="H45">
        <v>2</v>
      </c>
      <c r="I45" t="str">
        <f t="shared" si="0"/>
        <v>NO</v>
      </c>
    </row>
    <row r="46" spans="2:9" x14ac:dyDescent="0.25">
      <c r="B46" s="1" t="s">
        <v>39</v>
      </c>
      <c r="C46" s="1" t="s">
        <v>3</v>
      </c>
      <c r="D46">
        <v>10</v>
      </c>
      <c r="F46" s="3" t="str">
        <f>F45</f>
        <v>Nord de Menorca</v>
      </c>
      <c r="G46" s="1" t="s">
        <v>3</v>
      </c>
      <c r="H46">
        <v>4</v>
      </c>
      <c r="I46" t="str">
        <f t="shared" si="0"/>
        <v>NO</v>
      </c>
    </row>
    <row r="47" spans="2:9" x14ac:dyDescent="0.25">
      <c r="B47" s="1" t="s">
        <v>40</v>
      </c>
      <c r="C47" s="1" t="s">
        <v>4</v>
      </c>
      <c r="D47">
        <v>6</v>
      </c>
      <c r="F47" s="3" t="s">
        <v>70</v>
      </c>
      <c r="G47" s="1" t="s">
        <v>2</v>
      </c>
      <c r="H47">
        <v>150</v>
      </c>
      <c r="I47" t="str">
        <f t="shared" si="0"/>
        <v>NO</v>
      </c>
    </row>
    <row r="48" spans="2:9" x14ac:dyDescent="0.25">
      <c r="B48" s="1" t="s">
        <v>41</v>
      </c>
      <c r="C48" s="1" t="s">
        <v>3</v>
      </c>
      <c r="D48">
        <v>30</v>
      </c>
      <c r="F48" s="3" t="str">
        <f t="shared" ref="F48:F49" si="2">F47</f>
        <v>Pelagos Sanctuary for Marine Mammals</v>
      </c>
      <c r="G48" s="1" t="s">
        <v>3</v>
      </c>
      <c r="H48">
        <v>76</v>
      </c>
      <c r="I48" t="str">
        <f t="shared" si="0"/>
        <v>NO</v>
      </c>
    </row>
    <row r="49" spans="2:9" x14ac:dyDescent="0.25">
      <c r="B49" s="1" t="s">
        <v>42</v>
      </c>
      <c r="C49" s="1" t="s">
        <v>3</v>
      </c>
      <c r="D49">
        <v>2</v>
      </c>
      <c r="F49" s="3" t="str">
        <f t="shared" si="2"/>
        <v>Pelagos Sanctuary for Marine Mammals</v>
      </c>
      <c r="G49" s="1" t="s">
        <v>4</v>
      </c>
      <c r="H49">
        <v>14</v>
      </c>
      <c r="I49" t="str">
        <f t="shared" si="0"/>
        <v>NO</v>
      </c>
    </row>
    <row r="50" spans="2:9" x14ac:dyDescent="0.25">
      <c r="B50" s="1" t="s">
        <v>43</v>
      </c>
      <c r="C50" s="1" t="s">
        <v>3</v>
      </c>
      <c r="D50">
        <v>2</v>
      </c>
      <c r="F50" s="1" t="s">
        <v>71</v>
      </c>
      <c r="G50" s="1" t="s">
        <v>3</v>
      </c>
      <c r="H50">
        <v>2</v>
      </c>
      <c r="I50" t="str">
        <f t="shared" si="0"/>
        <v>NO</v>
      </c>
    </row>
    <row r="51" spans="2:9" x14ac:dyDescent="0.25">
      <c r="B51" s="1" t="s">
        <v>44</v>
      </c>
      <c r="C51" s="1" t="s">
        <v>3</v>
      </c>
      <c r="D51">
        <v>6</v>
      </c>
      <c r="F51" s="3" t="s">
        <v>72</v>
      </c>
      <c r="G51" s="1" t="s">
        <v>3</v>
      </c>
      <c r="H51">
        <v>12</v>
      </c>
      <c r="I51" t="str">
        <f t="shared" si="0"/>
        <v>NO</v>
      </c>
    </row>
    <row r="52" spans="2:9" x14ac:dyDescent="0.25">
      <c r="B52" s="1" t="s">
        <v>45</v>
      </c>
      <c r="C52" s="1" t="s">
        <v>3</v>
      </c>
      <c r="D52">
        <v>16</v>
      </c>
      <c r="F52" s="3" t="str">
        <f>F51</f>
        <v>Port-Cros</v>
      </c>
      <c r="G52" s="1" t="s">
        <v>4</v>
      </c>
      <c r="H52">
        <v>2</v>
      </c>
      <c r="I52" t="str">
        <f t="shared" si="0"/>
        <v>NO</v>
      </c>
    </row>
    <row r="53" spans="2:9" x14ac:dyDescent="0.25">
      <c r="B53" s="3" t="s">
        <v>46</v>
      </c>
      <c r="C53" s="1" t="s">
        <v>3</v>
      </c>
      <c r="D53">
        <v>6</v>
      </c>
      <c r="F53" s="3" t="s">
        <v>74</v>
      </c>
      <c r="G53" s="1" t="s">
        <v>2</v>
      </c>
      <c r="H53">
        <v>60</v>
      </c>
      <c r="I53" t="str">
        <f t="shared" si="0"/>
        <v>NO</v>
      </c>
    </row>
    <row r="54" spans="2:9" x14ac:dyDescent="0.25">
      <c r="B54" s="3" t="str">
        <f>B53</f>
        <v>Ile Plane (Paloma)</v>
      </c>
      <c r="C54" s="1" t="s">
        <v>4</v>
      </c>
      <c r="D54">
        <v>4</v>
      </c>
      <c r="F54" s="3" t="str">
        <f>F53</f>
        <v>Portofino</v>
      </c>
      <c r="G54" s="1" t="s">
        <v>3</v>
      </c>
      <c r="H54">
        <v>14</v>
      </c>
      <c r="I54" t="str">
        <f t="shared" si="0"/>
        <v>NO</v>
      </c>
    </row>
    <row r="55" spans="2:9" x14ac:dyDescent="0.25">
      <c r="B55" s="3" t="s">
        <v>47</v>
      </c>
      <c r="C55" s="1" t="s">
        <v>3</v>
      </c>
      <c r="D55">
        <v>10</v>
      </c>
      <c r="F55" s="1" t="s">
        <v>75</v>
      </c>
      <c r="G55" s="1" t="s">
        <v>3</v>
      </c>
      <c r="H55">
        <v>2</v>
      </c>
      <c r="I55" t="str">
        <f t="shared" si="0"/>
        <v>NO</v>
      </c>
    </row>
    <row r="56" spans="2:9" x14ac:dyDescent="0.25">
      <c r="B56" s="3" t="str">
        <f>B55</f>
        <v>Iles Habibas</v>
      </c>
      <c r="C56" s="1" t="s">
        <v>4</v>
      </c>
      <c r="D56">
        <v>2</v>
      </c>
      <c r="F56" s="1" t="s">
        <v>76</v>
      </c>
      <c r="G56" s="1" t="s">
        <v>3</v>
      </c>
      <c r="H56">
        <v>6</v>
      </c>
      <c r="I56" t="str">
        <f t="shared" si="0"/>
        <v>NO</v>
      </c>
    </row>
    <row r="57" spans="2:9" x14ac:dyDescent="0.25">
      <c r="B57" s="3" t="s">
        <v>48</v>
      </c>
      <c r="C57" s="1" t="s">
        <v>3</v>
      </c>
      <c r="D57">
        <v>80</v>
      </c>
      <c r="F57" s="1" t="s">
        <v>77</v>
      </c>
      <c r="G57" s="1" t="s">
        <v>4</v>
      </c>
      <c r="H57">
        <v>2</v>
      </c>
      <c r="I57" t="str">
        <f t="shared" si="0"/>
        <v>NO</v>
      </c>
    </row>
    <row r="58" spans="2:9" x14ac:dyDescent="0.25">
      <c r="B58" s="3" t="str">
        <f>B57</f>
        <v>Illa de Tabarca</v>
      </c>
      <c r="C58" s="1" t="s">
        <v>4</v>
      </c>
      <c r="D58">
        <v>32</v>
      </c>
      <c r="F58" s="1" t="s">
        <v>78</v>
      </c>
      <c r="G58" s="1" t="s">
        <v>3</v>
      </c>
      <c r="H58">
        <v>2</v>
      </c>
      <c r="I58" t="str">
        <f t="shared" si="0"/>
        <v>NO</v>
      </c>
    </row>
    <row r="59" spans="2:9" x14ac:dyDescent="0.25">
      <c r="B59" s="1" t="s">
        <v>49</v>
      </c>
      <c r="C59" s="1" t="s">
        <v>3</v>
      </c>
      <c r="D59">
        <v>2</v>
      </c>
      <c r="F59" s="1" t="s">
        <v>79</v>
      </c>
      <c r="G59" s="1" t="s">
        <v>3</v>
      </c>
      <c r="H59">
        <v>4</v>
      </c>
      <c r="I59" t="str">
        <f t="shared" si="0"/>
        <v>NO</v>
      </c>
    </row>
    <row r="60" spans="2:9" x14ac:dyDescent="0.25">
      <c r="B60" s="1" t="s">
        <v>50</v>
      </c>
      <c r="C60" s="1" t="s">
        <v>3</v>
      </c>
      <c r="D60">
        <v>2</v>
      </c>
      <c r="F60" s="3" t="s">
        <v>81</v>
      </c>
      <c r="G60" s="1" t="s">
        <v>3</v>
      </c>
      <c r="H60">
        <v>6</v>
      </c>
      <c r="I60" t="str">
        <f t="shared" si="0"/>
        <v>NO</v>
      </c>
    </row>
    <row r="61" spans="2:9" x14ac:dyDescent="0.25">
      <c r="B61" s="3" t="s">
        <v>51</v>
      </c>
      <c r="C61" s="1" t="s">
        <v>3</v>
      </c>
      <c r="D61">
        <v>70</v>
      </c>
      <c r="F61" s="3" t="str">
        <f>F60</f>
        <v>Scandola</v>
      </c>
      <c r="G61" s="1" t="s">
        <v>4</v>
      </c>
      <c r="H61">
        <v>28</v>
      </c>
      <c r="I61" t="str">
        <f t="shared" si="0"/>
        <v>NO</v>
      </c>
    </row>
    <row r="62" spans="2:9" x14ac:dyDescent="0.25">
      <c r="B62" s="3" t="str">
        <f>B61</f>
        <v>Illes Columbretes</v>
      </c>
      <c r="C62" s="1" t="s">
        <v>4</v>
      </c>
      <c r="D62">
        <v>12</v>
      </c>
      <c r="F62" s="1" t="s">
        <v>82</v>
      </c>
      <c r="G62" s="1" t="s">
        <v>3</v>
      </c>
      <c r="H62">
        <v>2</v>
      </c>
      <c r="I62" t="str">
        <f t="shared" si="0"/>
        <v>NO</v>
      </c>
    </row>
    <row r="63" spans="2:9" x14ac:dyDescent="0.25">
      <c r="B63" s="3" t="s">
        <v>52</v>
      </c>
      <c r="C63" s="1" t="s">
        <v>3</v>
      </c>
      <c r="D63">
        <v>6</v>
      </c>
      <c r="F63" s="1" t="s">
        <v>84</v>
      </c>
      <c r="G63" s="1" t="s">
        <v>3</v>
      </c>
      <c r="H63">
        <v>4</v>
      </c>
      <c r="I63" t="str">
        <f t="shared" si="0"/>
        <v>NO</v>
      </c>
    </row>
    <row r="64" spans="2:9" x14ac:dyDescent="0.25">
      <c r="B64" s="3" t="str">
        <f>B63</f>
        <v>Illots de Ponent</v>
      </c>
      <c r="C64" s="1" t="s">
        <v>4</v>
      </c>
      <c r="D64">
        <v>2</v>
      </c>
      <c r="F64" s="1" t="s">
        <v>85</v>
      </c>
      <c r="G64" s="1" t="s">
        <v>3</v>
      </c>
      <c r="H64">
        <v>6</v>
      </c>
      <c r="I64" t="str">
        <f t="shared" si="0"/>
        <v>NO</v>
      </c>
    </row>
    <row r="65" spans="2:9" x14ac:dyDescent="0.25">
      <c r="B65" s="1" t="s">
        <v>53</v>
      </c>
      <c r="C65" s="1" t="s">
        <v>3</v>
      </c>
      <c r="D65">
        <v>2</v>
      </c>
      <c r="F65" s="1" t="s">
        <v>102</v>
      </c>
      <c r="G65" s="1" t="s">
        <v>3</v>
      </c>
      <c r="H65">
        <v>2</v>
      </c>
      <c r="I65" t="str">
        <f t="shared" si="0"/>
        <v>NO</v>
      </c>
    </row>
    <row r="66" spans="2:9" x14ac:dyDescent="0.25">
      <c r="B66" s="3" t="s">
        <v>54</v>
      </c>
      <c r="C66" s="1" t="s">
        <v>3</v>
      </c>
      <c r="D66">
        <v>6</v>
      </c>
      <c r="F66" s="3" t="s">
        <v>86</v>
      </c>
      <c r="G66" s="1" t="s">
        <v>2</v>
      </c>
      <c r="H66">
        <v>48</v>
      </c>
      <c r="I66" t="str">
        <f t="shared" si="0"/>
        <v>NO</v>
      </c>
    </row>
    <row r="67" spans="2:9" x14ac:dyDescent="0.25">
      <c r="B67" s="3" t="str">
        <f>B66</f>
        <v>Isola di Bergeggi</v>
      </c>
      <c r="C67" s="1" t="s">
        <v>4</v>
      </c>
      <c r="D67">
        <v>4</v>
      </c>
      <c r="F67" s="3" t="str">
        <f>F66</f>
        <v>Tavolara - Punta Coda Cavallo</v>
      </c>
      <c r="G67" s="1" t="s">
        <v>3</v>
      </c>
      <c r="H67">
        <v>4</v>
      </c>
      <c r="I67" t="str">
        <f t="shared" si="0"/>
        <v>NO</v>
      </c>
    </row>
    <row r="68" spans="2:9" x14ac:dyDescent="0.25">
      <c r="B68" s="3" t="s">
        <v>55</v>
      </c>
      <c r="C68" s="1" t="s">
        <v>2</v>
      </c>
      <c r="D68">
        <v>322</v>
      </c>
      <c r="F68" s="1" t="s">
        <v>87</v>
      </c>
      <c r="G68" s="1" t="s">
        <v>3</v>
      </c>
      <c r="H68">
        <v>2</v>
      </c>
      <c r="I68" t="str">
        <f t="shared" si="0"/>
        <v>NO</v>
      </c>
    </row>
    <row r="69" spans="2:9" x14ac:dyDescent="0.25">
      <c r="B69" s="3" t="str">
        <f>B68</f>
        <v>Isola di Ustica</v>
      </c>
      <c r="C69" s="1" t="s">
        <v>4</v>
      </c>
      <c r="D69">
        <v>2</v>
      </c>
      <c r="F69" s="1" t="s">
        <v>103</v>
      </c>
      <c r="G69" s="1" t="s">
        <v>3</v>
      </c>
      <c r="H69">
        <v>4</v>
      </c>
      <c r="I69" t="str">
        <f t="shared" ref="I69:I72" si="3">IF(AND(COUNTIF($B:$B, F69)=0, G69&lt;&gt;"MME"), "YES", "NO")</f>
        <v>NO</v>
      </c>
    </row>
    <row r="70" spans="2:9" x14ac:dyDescent="0.25">
      <c r="B70" s="3" t="s">
        <v>56</v>
      </c>
      <c r="C70" s="1" t="s">
        <v>3</v>
      </c>
      <c r="D70">
        <v>6</v>
      </c>
      <c r="F70" s="1" t="s">
        <v>104</v>
      </c>
      <c r="G70" s="1" t="s">
        <v>3</v>
      </c>
      <c r="H70">
        <v>10</v>
      </c>
      <c r="I70" t="str">
        <f t="shared" si="3"/>
        <v>NO</v>
      </c>
    </row>
    <row r="71" spans="2:9" x14ac:dyDescent="0.25">
      <c r="B71" s="3" t="str">
        <f>B70</f>
        <v>Isole Tremiti</v>
      </c>
      <c r="C71" s="1" t="s">
        <v>4</v>
      </c>
      <c r="D71">
        <v>8</v>
      </c>
      <c r="F71" s="1" t="s">
        <v>90</v>
      </c>
      <c r="G71" s="1" t="s">
        <v>2</v>
      </c>
      <c r="H71">
        <v>24</v>
      </c>
      <c r="I71" t="str">
        <f t="shared" si="3"/>
        <v>NO</v>
      </c>
    </row>
    <row r="72" spans="2:9" x14ac:dyDescent="0.25">
      <c r="B72" s="1" t="s">
        <v>57</v>
      </c>
      <c r="C72" s="1" t="s">
        <v>3</v>
      </c>
      <c r="D72">
        <v>6</v>
      </c>
      <c r="F72" s="1" t="s">
        <v>91</v>
      </c>
      <c r="G72" s="1" t="s">
        <v>2</v>
      </c>
      <c r="H72">
        <v>48</v>
      </c>
      <c r="I72" t="str">
        <f t="shared" si="3"/>
        <v>NO</v>
      </c>
    </row>
    <row r="73" spans="2:9" x14ac:dyDescent="0.25">
      <c r="B73" s="3" t="s">
        <v>58</v>
      </c>
      <c r="C73" s="1" t="s">
        <v>3</v>
      </c>
      <c r="D73">
        <v>32</v>
      </c>
    </row>
    <row r="74" spans="2:9" x14ac:dyDescent="0.25">
      <c r="B74" s="3" t="str">
        <f>B73</f>
        <v>Kavo Gkreko</v>
      </c>
      <c r="C74" s="1" t="s">
        <v>4</v>
      </c>
      <c r="D74">
        <v>46</v>
      </c>
      <c r="F74" s="1" t="s">
        <v>58</v>
      </c>
      <c r="G74" s="4" t="s">
        <v>109</v>
      </c>
    </row>
    <row r="75" spans="2:9" x14ac:dyDescent="0.25">
      <c r="B75" s="3" t="s">
        <v>59</v>
      </c>
      <c r="C75" s="1" t="s">
        <v>3</v>
      </c>
      <c r="D75">
        <v>46</v>
      </c>
      <c r="F75" s="1" t="s">
        <v>110</v>
      </c>
      <c r="G75" s="4" t="s">
        <v>109</v>
      </c>
    </row>
    <row r="76" spans="2:9" x14ac:dyDescent="0.25">
      <c r="B76" s="3" t="str">
        <f>B75</f>
        <v>Kornati</v>
      </c>
      <c r="C76" s="1" t="s">
        <v>4</v>
      </c>
      <c r="D76">
        <v>2</v>
      </c>
      <c r="F76" s="4" t="s">
        <v>111</v>
      </c>
      <c r="G76" s="4" t="s">
        <v>109</v>
      </c>
    </row>
    <row r="77" spans="2:9" x14ac:dyDescent="0.25">
      <c r="B77" s="1" t="s">
        <v>60</v>
      </c>
      <c r="C77" s="1" t="s">
        <v>3</v>
      </c>
      <c r="D77">
        <v>64</v>
      </c>
      <c r="F77" s="4" t="s">
        <v>118</v>
      </c>
      <c r="G77" s="4" t="s">
        <v>109</v>
      </c>
    </row>
    <row r="78" spans="2:9" x14ac:dyDescent="0.25">
      <c r="B78" s="1" t="s">
        <v>61</v>
      </c>
      <c r="C78" s="1" t="s">
        <v>4</v>
      </c>
      <c r="D78">
        <v>18</v>
      </c>
      <c r="F78" s="4" t="s">
        <v>119</v>
      </c>
      <c r="G78" s="4" t="s">
        <v>109</v>
      </c>
    </row>
    <row r="79" spans="2:9" x14ac:dyDescent="0.25">
      <c r="B79" s="1" t="s">
        <v>62</v>
      </c>
      <c r="C79" s="1" t="s">
        <v>3</v>
      </c>
      <c r="D79">
        <v>8</v>
      </c>
      <c r="F79" s="4" t="s">
        <v>120</v>
      </c>
      <c r="G79" s="4" t="s">
        <v>109</v>
      </c>
    </row>
    <row r="80" spans="2:9" x14ac:dyDescent="0.25">
      <c r="B80" s="3" t="s">
        <v>63</v>
      </c>
      <c r="C80" s="1" t="s">
        <v>3</v>
      </c>
      <c r="D80">
        <v>8</v>
      </c>
      <c r="F80" s="4" t="s">
        <v>121</v>
      </c>
      <c r="G80" s="4" t="s">
        <v>109</v>
      </c>
    </row>
    <row r="81" spans="2:7" x14ac:dyDescent="0.25">
      <c r="B81" s="3" t="str">
        <f>B80</f>
        <v>Llevant De Mallorca - Cala Ratjada</v>
      </c>
      <c r="C81" s="1" t="s">
        <v>4</v>
      </c>
      <c r="D81">
        <v>2</v>
      </c>
      <c r="F81" s="4" t="s">
        <v>122</v>
      </c>
      <c r="G81" s="4" t="s">
        <v>109</v>
      </c>
    </row>
    <row r="82" spans="2:7" x14ac:dyDescent="0.25">
      <c r="B82" s="1" t="s">
        <v>64</v>
      </c>
      <c r="C82" s="1" t="s">
        <v>3</v>
      </c>
      <c r="D82">
        <v>16</v>
      </c>
      <c r="F82" s="4" t="s">
        <v>123</v>
      </c>
      <c r="G82" s="4" t="s">
        <v>109</v>
      </c>
    </row>
    <row r="83" spans="2:7" x14ac:dyDescent="0.25">
      <c r="B83" s="1" t="s">
        <v>65</v>
      </c>
      <c r="C83" s="1" t="s">
        <v>3</v>
      </c>
      <c r="D83">
        <v>4</v>
      </c>
      <c r="F83" s="4" t="s">
        <v>124</v>
      </c>
      <c r="G83" s="4" t="s">
        <v>109</v>
      </c>
    </row>
    <row r="84" spans="2:7" x14ac:dyDescent="0.25">
      <c r="B84" s="1" t="s">
        <v>66</v>
      </c>
      <c r="C84" s="1" t="s">
        <v>3</v>
      </c>
      <c r="D84">
        <v>4</v>
      </c>
      <c r="F84" s="4" t="s">
        <v>125</v>
      </c>
      <c r="G84" s="4" t="s">
        <v>109</v>
      </c>
    </row>
    <row r="85" spans="2:7" x14ac:dyDescent="0.25">
      <c r="B85" s="3" t="s">
        <v>67</v>
      </c>
      <c r="C85" s="1" t="s">
        <v>3</v>
      </c>
      <c r="D85">
        <v>12</v>
      </c>
      <c r="F85" s="4" t="s">
        <v>126</v>
      </c>
      <c r="G85" s="4" t="s">
        <v>109</v>
      </c>
    </row>
    <row r="86" spans="2:7" x14ac:dyDescent="0.25">
      <c r="B86" s="3" t="str">
        <f>B85</f>
        <v>Migjorn De Mallorca</v>
      </c>
      <c r="C86" s="1" t="s">
        <v>4</v>
      </c>
      <c r="D86">
        <v>20</v>
      </c>
      <c r="F86" s="4" t="s">
        <v>127</v>
      </c>
      <c r="G86" s="4" t="s">
        <v>109</v>
      </c>
    </row>
    <row r="87" spans="2:7" x14ac:dyDescent="0.25">
      <c r="B87" s="1" t="s">
        <v>68</v>
      </c>
      <c r="C87" s="1" t="s">
        <v>3</v>
      </c>
      <c r="D87">
        <v>86</v>
      </c>
    </row>
    <row r="88" spans="2:7" x14ac:dyDescent="0.25">
      <c r="B88" s="3" t="s">
        <v>69</v>
      </c>
      <c r="C88" s="1" t="s">
        <v>2</v>
      </c>
      <c r="D88">
        <v>2</v>
      </c>
    </row>
    <row r="89" spans="2:7" x14ac:dyDescent="0.25">
      <c r="B89" s="3" t="str">
        <f>B88</f>
        <v>Nord de Menorca</v>
      </c>
      <c r="C89" s="1" t="s">
        <v>3</v>
      </c>
      <c r="D89">
        <v>26</v>
      </c>
    </row>
    <row r="90" spans="2:7" x14ac:dyDescent="0.25">
      <c r="B90" s="3" t="str">
        <f>B89</f>
        <v>Nord de Menorca</v>
      </c>
      <c r="C90" s="1" t="s">
        <v>4</v>
      </c>
      <c r="D90">
        <v>2</v>
      </c>
    </row>
    <row r="91" spans="2:7" x14ac:dyDescent="0.25">
      <c r="B91" s="3" t="s">
        <v>70</v>
      </c>
      <c r="C91" s="1" t="s">
        <v>2</v>
      </c>
      <c r="D91">
        <v>10</v>
      </c>
    </row>
    <row r="92" spans="2:7" x14ac:dyDescent="0.25">
      <c r="B92" s="3" t="str">
        <f>B91</f>
        <v>Pelagos Sanctuary for Marine Mammals</v>
      </c>
      <c r="C92" s="1" t="s">
        <v>3</v>
      </c>
      <c r="D92">
        <v>514</v>
      </c>
    </row>
    <row r="93" spans="2:7" x14ac:dyDescent="0.25">
      <c r="B93" s="3" t="str">
        <f>B92</f>
        <v>Pelagos Sanctuary for Marine Mammals</v>
      </c>
      <c r="C93" s="1" t="s">
        <v>4</v>
      </c>
      <c r="D93">
        <v>472</v>
      </c>
    </row>
    <row r="94" spans="2:7" x14ac:dyDescent="0.25">
      <c r="B94" s="1" t="s">
        <v>71</v>
      </c>
      <c r="C94" s="1" t="s">
        <v>3</v>
      </c>
      <c r="D94">
        <v>4</v>
      </c>
    </row>
    <row r="95" spans="2:7" x14ac:dyDescent="0.25">
      <c r="B95" s="3" t="s">
        <v>72</v>
      </c>
      <c r="C95" s="1" t="s">
        <v>3</v>
      </c>
      <c r="D95">
        <v>64</v>
      </c>
    </row>
    <row r="96" spans="2:7" x14ac:dyDescent="0.25">
      <c r="B96" s="3" t="str">
        <f>B95</f>
        <v>Port-Cros</v>
      </c>
      <c r="C96" s="1" t="s">
        <v>4</v>
      </c>
      <c r="D96">
        <v>82</v>
      </c>
    </row>
    <row r="97" spans="2:4" x14ac:dyDescent="0.25">
      <c r="B97" s="1" t="s">
        <v>73</v>
      </c>
      <c r="C97" s="1" t="s">
        <v>3</v>
      </c>
      <c r="D97">
        <v>8</v>
      </c>
    </row>
    <row r="98" spans="2:4" x14ac:dyDescent="0.25">
      <c r="B98" s="3" t="s">
        <v>74</v>
      </c>
      <c r="C98" s="1" t="s">
        <v>2</v>
      </c>
      <c r="D98">
        <v>6</v>
      </c>
    </row>
    <row r="99" spans="2:4" x14ac:dyDescent="0.25">
      <c r="B99" s="3" t="str">
        <f>B98</f>
        <v>Portofino</v>
      </c>
      <c r="C99" s="1" t="s">
        <v>3</v>
      </c>
      <c r="D99">
        <v>54</v>
      </c>
    </row>
    <row r="100" spans="2:4" x14ac:dyDescent="0.25">
      <c r="B100" s="3" t="str">
        <f>B99</f>
        <v>Portofino</v>
      </c>
      <c r="C100" s="1" t="s">
        <v>4</v>
      </c>
      <c r="D100">
        <v>8</v>
      </c>
    </row>
    <row r="101" spans="2:4" x14ac:dyDescent="0.25">
      <c r="B101" s="3" t="s">
        <v>75</v>
      </c>
      <c r="C101" s="1" t="s">
        <v>3</v>
      </c>
      <c r="D101">
        <v>10</v>
      </c>
    </row>
    <row r="102" spans="2:4" x14ac:dyDescent="0.25">
      <c r="B102" s="3" t="str">
        <f>B101</f>
        <v>Prviæ i Grgurov kanal</v>
      </c>
      <c r="C102" s="1" t="s">
        <v>4</v>
      </c>
      <c r="D102">
        <v>10</v>
      </c>
    </row>
    <row r="103" spans="2:4" x14ac:dyDescent="0.25">
      <c r="B103" s="1" t="s">
        <v>76</v>
      </c>
      <c r="C103" s="1" t="s">
        <v>3</v>
      </c>
      <c r="D103">
        <v>2</v>
      </c>
    </row>
    <row r="104" spans="2:4" x14ac:dyDescent="0.25">
      <c r="B104" s="3" t="s">
        <v>77</v>
      </c>
      <c r="C104" s="1" t="s">
        <v>3</v>
      </c>
      <c r="D104">
        <v>74</v>
      </c>
    </row>
    <row r="105" spans="2:4" x14ac:dyDescent="0.25">
      <c r="B105" s="3" t="str">
        <f>B104</f>
        <v>Regno di Nettuno</v>
      </c>
      <c r="C105" s="1" t="s">
        <v>4</v>
      </c>
      <c r="D105">
        <v>36</v>
      </c>
    </row>
    <row r="106" spans="2:4" x14ac:dyDescent="0.25">
      <c r="B106" s="1" t="s">
        <v>78</v>
      </c>
      <c r="C106" s="1" t="s">
        <v>3</v>
      </c>
      <c r="D106">
        <v>12</v>
      </c>
    </row>
    <row r="107" spans="2:4" x14ac:dyDescent="0.25">
      <c r="B107" s="1" t="s">
        <v>79</v>
      </c>
      <c r="C107" s="1" t="s">
        <v>3</v>
      </c>
      <c r="D107">
        <v>8</v>
      </c>
    </row>
    <row r="108" spans="2:4" x14ac:dyDescent="0.25">
      <c r="B108" s="1" t="s">
        <v>80</v>
      </c>
      <c r="C108" s="1" t="s">
        <v>3</v>
      </c>
      <c r="D108">
        <v>8</v>
      </c>
    </row>
    <row r="109" spans="2:4" x14ac:dyDescent="0.25">
      <c r="B109" s="3" t="s">
        <v>81</v>
      </c>
      <c r="C109" s="1" t="s">
        <v>3</v>
      </c>
      <c r="D109">
        <v>66</v>
      </c>
    </row>
    <row r="110" spans="2:4" x14ac:dyDescent="0.25">
      <c r="B110" s="3" t="str">
        <f>B109</f>
        <v>Scandola</v>
      </c>
      <c r="C110" s="1" t="s">
        <v>4</v>
      </c>
      <c r="D110">
        <v>102</v>
      </c>
    </row>
    <row r="111" spans="2:4" x14ac:dyDescent="0.25">
      <c r="B111" s="1" t="s">
        <v>82</v>
      </c>
      <c r="C111" s="1" t="s">
        <v>3</v>
      </c>
      <c r="D111">
        <v>4</v>
      </c>
    </row>
    <row r="112" spans="2:4" x14ac:dyDescent="0.25">
      <c r="B112" s="3" t="s">
        <v>83</v>
      </c>
      <c r="C112" s="1" t="s">
        <v>3</v>
      </c>
      <c r="D112">
        <v>4</v>
      </c>
    </row>
    <row r="113" spans="2:4" x14ac:dyDescent="0.25">
      <c r="B113" s="3" t="str">
        <f>B112</f>
        <v>Secche di Tor Paterno</v>
      </c>
      <c r="C113" s="1" t="s">
        <v>4</v>
      </c>
      <c r="D113">
        <v>12</v>
      </c>
    </row>
    <row r="114" spans="2:4" x14ac:dyDescent="0.25">
      <c r="B114" s="1" t="s">
        <v>84</v>
      </c>
      <c r="C114" s="1" t="s">
        <v>3</v>
      </c>
      <c r="D114">
        <v>18</v>
      </c>
    </row>
    <row r="115" spans="2:4" x14ac:dyDescent="0.25">
      <c r="B115" s="3" t="s">
        <v>85</v>
      </c>
      <c r="C115" s="1" t="s">
        <v>3</v>
      </c>
      <c r="D115">
        <v>20</v>
      </c>
    </row>
    <row r="116" spans="2:4" x14ac:dyDescent="0.25">
      <c r="B116" s="3" t="str">
        <f>B115</f>
        <v>Ses Salines d'Eivissa I Formentera</v>
      </c>
      <c r="C116" s="1" t="s">
        <v>4</v>
      </c>
      <c r="D116">
        <v>30</v>
      </c>
    </row>
    <row r="117" spans="2:4" x14ac:dyDescent="0.25">
      <c r="B117" s="3" t="s">
        <v>86</v>
      </c>
      <c r="C117" s="1" t="s">
        <v>3</v>
      </c>
      <c r="D117">
        <v>66</v>
      </c>
    </row>
    <row r="118" spans="2:4" x14ac:dyDescent="0.25">
      <c r="B118" s="3" t="str">
        <f>B117</f>
        <v>Tavolara - Punta Coda Cavallo</v>
      </c>
      <c r="C118" s="1" t="s">
        <v>4</v>
      </c>
      <c r="D118">
        <v>62</v>
      </c>
    </row>
    <row r="119" spans="2:4" x14ac:dyDescent="0.25">
      <c r="B119" s="1" t="s">
        <v>87</v>
      </c>
      <c r="C119" s="1" t="s">
        <v>3</v>
      </c>
      <c r="D119">
        <v>50</v>
      </c>
    </row>
    <row r="120" spans="2:4" x14ac:dyDescent="0.25">
      <c r="B120" s="1" t="s">
        <v>88</v>
      </c>
      <c r="C120" s="1" t="s">
        <v>3</v>
      </c>
      <c r="D120">
        <v>8</v>
      </c>
    </row>
    <row r="121" spans="2:4" x14ac:dyDescent="0.25">
      <c r="B121" s="3" t="s">
        <v>89</v>
      </c>
      <c r="C121" s="1" t="s">
        <v>3</v>
      </c>
      <c r="D121">
        <v>14</v>
      </c>
    </row>
    <row r="122" spans="2:4" x14ac:dyDescent="0.25">
      <c r="B122" s="3" t="str">
        <f>B121</f>
        <v>Yam Rosh Haniqra – Akhziv</v>
      </c>
      <c r="C122" s="1" t="s">
        <v>4</v>
      </c>
      <c r="D122">
        <v>4</v>
      </c>
    </row>
    <row r="123" spans="2:4" x14ac:dyDescent="0.25">
      <c r="B123" s="3" t="s">
        <v>90</v>
      </c>
      <c r="C123" s="1" t="s">
        <v>3</v>
      </c>
      <c r="D123">
        <v>12</v>
      </c>
    </row>
    <row r="124" spans="2:4" x14ac:dyDescent="0.25">
      <c r="B124" s="3" t="str">
        <f>B123</f>
        <v>Zembra</v>
      </c>
      <c r="C124" s="1" t="s">
        <v>4</v>
      </c>
      <c r="D124">
        <v>6</v>
      </c>
    </row>
    <row r="125" spans="2:4" x14ac:dyDescent="0.25">
      <c r="B125" s="1" t="s">
        <v>91</v>
      </c>
      <c r="C125" s="1" t="s">
        <v>3</v>
      </c>
      <c r="D125">
        <v>12</v>
      </c>
    </row>
    <row r="127" spans="2:4" x14ac:dyDescent="0.25">
      <c r="B127" s="1" t="s">
        <v>34</v>
      </c>
      <c r="C127" s="4" t="s">
        <v>109</v>
      </c>
    </row>
    <row r="128" spans="2:4" x14ac:dyDescent="0.25">
      <c r="B128" s="1" t="s">
        <v>22</v>
      </c>
      <c r="C128" s="4" t="s">
        <v>109</v>
      </c>
    </row>
    <row r="129" spans="2:3" x14ac:dyDescent="0.25">
      <c r="B129" s="1" t="s">
        <v>70</v>
      </c>
      <c r="C129" s="4" t="s">
        <v>109</v>
      </c>
    </row>
    <row r="130" spans="2:3" x14ac:dyDescent="0.25">
      <c r="B130" s="1" t="s">
        <v>72</v>
      </c>
      <c r="C130" s="4" t="s">
        <v>109</v>
      </c>
    </row>
    <row r="131" spans="2:3" x14ac:dyDescent="0.25">
      <c r="B131" s="1" t="s">
        <v>36</v>
      </c>
      <c r="C131" s="4" t="s">
        <v>109</v>
      </c>
    </row>
    <row r="132" spans="2:3" x14ac:dyDescent="0.25">
      <c r="B132" s="1" t="s">
        <v>17</v>
      </c>
      <c r="C132" s="4" t="s">
        <v>109</v>
      </c>
    </row>
    <row r="133" spans="2:3" x14ac:dyDescent="0.25">
      <c r="B133" s="1" t="s">
        <v>81</v>
      </c>
      <c r="C133" s="4" t="s">
        <v>109</v>
      </c>
    </row>
    <row r="134" spans="2:3" x14ac:dyDescent="0.25">
      <c r="B134" s="1" t="s">
        <v>93</v>
      </c>
      <c r="C134" s="4" t="s">
        <v>109</v>
      </c>
    </row>
    <row r="135" spans="2:3" x14ac:dyDescent="0.25">
      <c r="B135" s="1" t="s">
        <v>96</v>
      </c>
      <c r="C135" s="4" t="s">
        <v>109</v>
      </c>
    </row>
    <row r="136" spans="2:3" x14ac:dyDescent="0.25">
      <c r="B136" s="1" t="s">
        <v>13</v>
      </c>
      <c r="C136" s="4" t="s">
        <v>109</v>
      </c>
    </row>
    <row r="137" spans="2:3" x14ac:dyDescent="0.25">
      <c r="B137" s="1" t="s">
        <v>26</v>
      </c>
      <c r="C137" s="4" t="s">
        <v>109</v>
      </c>
    </row>
    <row r="138" spans="2:3" x14ac:dyDescent="0.25">
      <c r="B138" s="1" t="s">
        <v>30</v>
      </c>
      <c r="C138" s="4" t="s">
        <v>109</v>
      </c>
    </row>
    <row r="139" spans="2:3" x14ac:dyDescent="0.25">
      <c r="B139" s="1" t="s">
        <v>51</v>
      </c>
      <c r="C139" s="4" t="s">
        <v>109</v>
      </c>
    </row>
    <row r="140" spans="2:3" x14ac:dyDescent="0.25">
      <c r="B140" s="1" t="s">
        <v>59</v>
      </c>
      <c r="C140" s="4" t="s">
        <v>109</v>
      </c>
    </row>
    <row r="141" spans="2:3" x14ac:dyDescent="0.25">
      <c r="B141" s="1" t="s">
        <v>68</v>
      </c>
      <c r="C141" s="4" t="s">
        <v>109</v>
      </c>
    </row>
    <row r="142" spans="2:3" x14ac:dyDescent="0.25">
      <c r="B142" s="1" t="s">
        <v>106</v>
      </c>
      <c r="C142" s="4" t="s">
        <v>109</v>
      </c>
    </row>
    <row r="143" spans="2:3" x14ac:dyDescent="0.25">
      <c r="B143" s="1" t="s">
        <v>87</v>
      </c>
      <c r="C143" s="4" t="s">
        <v>109</v>
      </c>
    </row>
    <row r="144" spans="2:3" x14ac:dyDescent="0.25">
      <c r="B144" s="1" t="s">
        <v>52</v>
      </c>
      <c r="C144" s="4" t="s">
        <v>109</v>
      </c>
    </row>
    <row r="145" spans="2:3" x14ac:dyDescent="0.25">
      <c r="B145" s="1" t="s">
        <v>77</v>
      </c>
      <c r="C145" s="4" t="s">
        <v>109</v>
      </c>
    </row>
    <row r="146" spans="2:3" x14ac:dyDescent="0.25">
      <c r="B146" s="1" t="s">
        <v>15</v>
      </c>
      <c r="C146" s="4" t="s">
        <v>109</v>
      </c>
    </row>
    <row r="147" spans="2:3" x14ac:dyDescent="0.25">
      <c r="B147" s="1" t="s">
        <v>23</v>
      </c>
      <c r="C147" s="4" t="s">
        <v>109</v>
      </c>
    </row>
    <row r="148" spans="2:3" x14ac:dyDescent="0.25">
      <c r="B148" s="1" t="s">
        <v>90</v>
      </c>
      <c r="C148" s="4" t="s">
        <v>109</v>
      </c>
    </row>
    <row r="149" spans="2:3" x14ac:dyDescent="0.25">
      <c r="B149" s="1" t="s">
        <v>45</v>
      </c>
      <c r="C149" s="4" t="s">
        <v>109</v>
      </c>
    </row>
    <row r="150" spans="2:3" x14ac:dyDescent="0.25">
      <c r="B150" s="1" t="s">
        <v>49</v>
      </c>
      <c r="C150" s="4" t="s">
        <v>109</v>
      </c>
    </row>
    <row r="151" spans="2:3" x14ac:dyDescent="0.25">
      <c r="B151" s="1" t="s">
        <v>107</v>
      </c>
      <c r="C151" s="4" t="s">
        <v>109</v>
      </c>
    </row>
    <row r="152" spans="2:3" x14ac:dyDescent="0.25">
      <c r="B152" s="1" t="s">
        <v>69</v>
      </c>
      <c r="C152" s="4" t="s">
        <v>109</v>
      </c>
    </row>
    <row r="153" spans="2:3" x14ac:dyDescent="0.25">
      <c r="B153" s="1" t="s">
        <v>18</v>
      </c>
      <c r="C153" s="4" t="s">
        <v>109</v>
      </c>
    </row>
    <row r="154" spans="2:3" x14ac:dyDescent="0.25">
      <c r="B154" s="1" t="s">
        <v>74</v>
      </c>
      <c r="C154" s="4" t="s">
        <v>109</v>
      </c>
    </row>
    <row r="155" spans="2:3" x14ac:dyDescent="0.25">
      <c r="B155" s="1" t="s">
        <v>48</v>
      </c>
      <c r="C155" s="4" t="s">
        <v>109</v>
      </c>
    </row>
    <row r="156" spans="2:3" x14ac:dyDescent="0.25">
      <c r="B156" s="1" t="s">
        <v>97</v>
      </c>
      <c r="C156" s="4" t="s">
        <v>109</v>
      </c>
    </row>
    <row r="157" spans="2:3" x14ac:dyDescent="0.25">
      <c r="B157" s="1" t="s">
        <v>28</v>
      </c>
      <c r="C157" s="4" t="s">
        <v>109</v>
      </c>
    </row>
    <row r="158" spans="2:3" x14ac:dyDescent="0.25">
      <c r="B158" s="1" t="s">
        <v>40</v>
      </c>
      <c r="C158" s="4" t="s">
        <v>109</v>
      </c>
    </row>
    <row r="159" spans="2:3" x14ac:dyDescent="0.25">
      <c r="B159" s="1" t="s">
        <v>108</v>
      </c>
      <c r="C159" s="4" t="s">
        <v>109</v>
      </c>
    </row>
    <row r="160" spans="2:3" x14ac:dyDescent="0.25">
      <c r="B160" s="1" t="s">
        <v>54</v>
      </c>
      <c r="C160" s="4" t="s">
        <v>109</v>
      </c>
    </row>
    <row r="161" spans="2:3" x14ac:dyDescent="0.25">
      <c r="B161" s="1" t="s">
        <v>61</v>
      </c>
      <c r="C161" s="4" t="s">
        <v>109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DC69-7675-4BCE-83B3-1AC7A70BCFE1}">
  <dimension ref="A1:B58"/>
  <sheetViews>
    <sheetView topLeftCell="A40" workbookViewId="0">
      <selection activeCell="A3" sqref="A3"/>
    </sheetView>
  </sheetViews>
  <sheetFormatPr baseColWidth="10" defaultRowHeight="15" x14ac:dyDescent="0.25"/>
  <cols>
    <col min="1" max="1" width="47.85546875" bestFit="1" customWidth="1"/>
    <col min="2" max="2" width="20.140625" bestFit="1" customWidth="1"/>
    <col min="3" max="89" width="70.7109375" bestFit="1" customWidth="1"/>
    <col min="90" max="90" width="12.5703125" bestFit="1" customWidth="1"/>
  </cols>
  <sheetData>
    <row r="1" spans="1:2" x14ac:dyDescent="0.25">
      <c r="A1" s="5" t="s">
        <v>0</v>
      </c>
      <c r="B1" t="s">
        <v>115</v>
      </c>
    </row>
    <row r="3" spans="1:2" x14ac:dyDescent="0.25">
      <c r="A3" s="5" t="s">
        <v>112</v>
      </c>
      <c r="B3" t="s">
        <v>114</v>
      </c>
    </row>
    <row r="4" spans="1:2" x14ac:dyDescent="0.25">
      <c r="A4" s="6" t="s">
        <v>11</v>
      </c>
      <c r="B4">
        <v>1</v>
      </c>
    </row>
    <row r="5" spans="1:2" x14ac:dyDescent="0.25">
      <c r="A5" s="6" t="s">
        <v>13</v>
      </c>
      <c r="B5">
        <v>2</v>
      </c>
    </row>
    <row r="6" spans="1:2" x14ac:dyDescent="0.25">
      <c r="A6" s="6" t="s">
        <v>15</v>
      </c>
      <c r="B6">
        <v>2</v>
      </c>
    </row>
    <row r="7" spans="1:2" x14ac:dyDescent="0.25">
      <c r="A7" s="6" t="s">
        <v>14</v>
      </c>
      <c r="B7">
        <v>1</v>
      </c>
    </row>
    <row r="8" spans="1:2" x14ac:dyDescent="0.25">
      <c r="A8" s="6" t="s">
        <v>17</v>
      </c>
      <c r="B8">
        <v>2</v>
      </c>
    </row>
    <row r="9" spans="1:2" x14ac:dyDescent="0.25">
      <c r="A9" s="6" t="s">
        <v>18</v>
      </c>
      <c r="B9">
        <v>2</v>
      </c>
    </row>
    <row r="10" spans="1:2" x14ac:dyDescent="0.25">
      <c r="A10" s="6" t="s">
        <v>22</v>
      </c>
      <c r="B10">
        <v>2</v>
      </c>
    </row>
    <row r="11" spans="1:2" x14ac:dyDescent="0.25">
      <c r="A11" s="6" t="s">
        <v>23</v>
      </c>
      <c r="B11">
        <v>1</v>
      </c>
    </row>
    <row r="12" spans="1:2" x14ac:dyDescent="0.25">
      <c r="A12" s="6" t="s">
        <v>26</v>
      </c>
      <c r="B12">
        <v>2</v>
      </c>
    </row>
    <row r="13" spans="1:2" x14ac:dyDescent="0.25">
      <c r="A13" s="6" t="s">
        <v>24</v>
      </c>
      <c r="B13">
        <v>1</v>
      </c>
    </row>
    <row r="14" spans="1:2" x14ac:dyDescent="0.25">
      <c r="A14" s="6" t="s">
        <v>27</v>
      </c>
      <c r="B14">
        <v>1</v>
      </c>
    </row>
    <row r="15" spans="1:2" x14ac:dyDescent="0.25">
      <c r="A15" s="6" t="s">
        <v>28</v>
      </c>
      <c r="B15">
        <v>2</v>
      </c>
    </row>
    <row r="16" spans="1:2" x14ac:dyDescent="0.25">
      <c r="A16" s="6" t="s">
        <v>93</v>
      </c>
      <c r="B16">
        <v>1</v>
      </c>
    </row>
    <row r="17" spans="1:2" x14ac:dyDescent="0.25">
      <c r="A17" s="6" t="s">
        <v>29</v>
      </c>
      <c r="B17">
        <v>1</v>
      </c>
    </row>
    <row r="18" spans="1:2" x14ac:dyDescent="0.25">
      <c r="A18" s="6" t="s">
        <v>30</v>
      </c>
      <c r="B18">
        <v>2</v>
      </c>
    </row>
    <row r="19" spans="1:2" x14ac:dyDescent="0.25">
      <c r="A19" s="6" t="s">
        <v>31</v>
      </c>
      <c r="B19">
        <v>1</v>
      </c>
    </row>
    <row r="20" spans="1:2" x14ac:dyDescent="0.25">
      <c r="A20" s="6" t="s">
        <v>34</v>
      </c>
      <c r="B20">
        <v>2</v>
      </c>
    </row>
    <row r="21" spans="1:2" x14ac:dyDescent="0.25">
      <c r="A21" s="6" t="s">
        <v>36</v>
      </c>
      <c r="B21">
        <v>2</v>
      </c>
    </row>
    <row r="22" spans="1:2" x14ac:dyDescent="0.25">
      <c r="A22" s="6" t="s">
        <v>38</v>
      </c>
      <c r="B22">
        <v>1</v>
      </c>
    </row>
    <row r="23" spans="1:2" x14ac:dyDescent="0.25">
      <c r="A23" s="6" t="s">
        <v>40</v>
      </c>
      <c r="B23">
        <v>2</v>
      </c>
    </row>
    <row r="24" spans="1:2" x14ac:dyDescent="0.25">
      <c r="A24" s="6" t="s">
        <v>45</v>
      </c>
      <c r="B24">
        <v>1</v>
      </c>
    </row>
    <row r="25" spans="1:2" x14ac:dyDescent="0.25">
      <c r="A25" s="6" t="s">
        <v>96</v>
      </c>
      <c r="B25">
        <v>1</v>
      </c>
    </row>
    <row r="26" spans="1:2" x14ac:dyDescent="0.25">
      <c r="A26" s="6" t="s">
        <v>46</v>
      </c>
      <c r="B26">
        <v>1</v>
      </c>
    </row>
    <row r="27" spans="1:2" x14ac:dyDescent="0.25">
      <c r="A27" s="6" t="s">
        <v>47</v>
      </c>
      <c r="B27">
        <v>1</v>
      </c>
    </row>
    <row r="28" spans="1:2" x14ac:dyDescent="0.25">
      <c r="A28" s="6" t="s">
        <v>49</v>
      </c>
      <c r="B28">
        <v>1</v>
      </c>
    </row>
    <row r="29" spans="1:2" x14ac:dyDescent="0.25">
      <c r="A29" s="6" t="s">
        <v>48</v>
      </c>
      <c r="B29">
        <v>2</v>
      </c>
    </row>
    <row r="30" spans="1:2" x14ac:dyDescent="0.25">
      <c r="A30" s="6" t="s">
        <v>51</v>
      </c>
      <c r="B30">
        <v>2</v>
      </c>
    </row>
    <row r="31" spans="1:2" x14ac:dyDescent="0.25">
      <c r="A31" s="6" t="s">
        <v>52</v>
      </c>
      <c r="B31">
        <v>2</v>
      </c>
    </row>
    <row r="32" spans="1:2" x14ac:dyDescent="0.25">
      <c r="A32" s="6" t="s">
        <v>54</v>
      </c>
      <c r="B32">
        <v>2</v>
      </c>
    </row>
    <row r="33" spans="1:2" x14ac:dyDescent="0.25">
      <c r="A33" s="6" t="s">
        <v>55</v>
      </c>
      <c r="B33">
        <v>2</v>
      </c>
    </row>
    <row r="34" spans="1:2" x14ac:dyDescent="0.25">
      <c r="A34" s="6" t="s">
        <v>97</v>
      </c>
      <c r="B34">
        <v>1</v>
      </c>
    </row>
    <row r="35" spans="1:2" x14ac:dyDescent="0.25">
      <c r="A35" s="6" t="s">
        <v>56</v>
      </c>
      <c r="B35">
        <v>1</v>
      </c>
    </row>
    <row r="36" spans="1:2" x14ac:dyDescent="0.25">
      <c r="A36" s="6" t="s">
        <v>107</v>
      </c>
      <c r="B36">
        <v>1</v>
      </c>
    </row>
    <row r="37" spans="1:2" x14ac:dyDescent="0.25">
      <c r="A37" s="6" t="s">
        <v>58</v>
      </c>
      <c r="B37">
        <v>1</v>
      </c>
    </row>
    <row r="38" spans="1:2" x14ac:dyDescent="0.25">
      <c r="A38" s="6" t="s">
        <v>59</v>
      </c>
      <c r="B38">
        <v>2</v>
      </c>
    </row>
    <row r="39" spans="1:2" x14ac:dyDescent="0.25">
      <c r="A39" s="6" t="s">
        <v>61</v>
      </c>
      <c r="B39">
        <v>2</v>
      </c>
    </row>
    <row r="40" spans="1:2" x14ac:dyDescent="0.25">
      <c r="A40" s="6" t="s">
        <v>63</v>
      </c>
      <c r="B40">
        <v>1</v>
      </c>
    </row>
    <row r="41" spans="1:2" x14ac:dyDescent="0.25">
      <c r="A41" s="6" t="s">
        <v>67</v>
      </c>
      <c r="B41">
        <v>1</v>
      </c>
    </row>
    <row r="42" spans="1:2" x14ac:dyDescent="0.25">
      <c r="A42" s="6" t="s">
        <v>68</v>
      </c>
      <c r="B42">
        <v>1</v>
      </c>
    </row>
    <row r="43" spans="1:2" x14ac:dyDescent="0.25">
      <c r="A43" s="6" t="s">
        <v>69</v>
      </c>
      <c r="B43">
        <v>3</v>
      </c>
    </row>
    <row r="44" spans="1:2" x14ac:dyDescent="0.25">
      <c r="A44" s="6" t="s">
        <v>70</v>
      </c>
      <c r="B44">
        <v>3</v>
      </c>
    </row>
    <row r="45" spans="1:2" x14ac:dyDescent="0.25">
      <c r="A45" s="6" t="s">
        <v>108</v>
      </c>
      <c r="B45">
        <v>1</v>
      </c>
    </row>
    <row r="46" spans="1:2" x14ac:dyDescent="0.25">
      <c r="A46" s="6" t="s">
        <v>72</v>
      </c>
      <c r="B46">
        <v>2</v>
      </c>
    </row>
    <row r="47" spans="1:2" x14ac:dyDescent="0.25">
      <c r="A47" s="6" t="s">
        <v>74</v>
      </c>
      <c r="B47">
        <v>3</v>
      </c>
    </row>
    <row r="48" spans="1:2" x14ac:dyDescent="0.25">
      <c r="A48" s="6" t="s">
        <v>106</v>
      </c>
      <c r="B48">
        <v>1</v>
      </c>
    </row>
    <row r="49" spans="1:2" x14ac:dyDescent="0.25">
      <c r="A49" s="6" t="s">
        <v>75</v>
      </c>
      <c r="B49">
        <v>1</v>
      </c>
    </row>
    <row r="50" spans="1:2" x14ac:dyDescent="0.25">
      <c r="A50" s="6" t="s">
        <v>77</v>
      </c>
      <c r="B50">
        <v>2</v>
      </c>
    </row>
    <row r="51" spans="1:2" x14ac:dyDescent="0.25">
      <c r="A51" s="6" t="s">
        <v>81</v>
      </c>
      <c r="B51">
        <v>2</v>
      </c>
    </row>
    <row r="52" spans="1:2" x14ac:dyDescent="0.25">
      <c r="A52" s="6" t="s">
        <v>83</v>
      </c>
      <c r="B52">
        <v>1</v>
      </c>
    </row>
    <row r="53" spans="1:2" x14ac:dyDescent="0.25">
      <c r="A53" s="6" t="s">
        <v>85</v>
      </c>
      <c r="B53">
        <v>1</v>
      </c>
    </row>
    <row r="54" spans="1:2" x14ac:dyDescent="0.25">
      <c r="A54" s="6" t="s">
        <v>86</v>
      </c>
      <c r="B54">
        <v>1</v>
      </c>
    </row>
    <row r="55" spans="1:2" x14ac:dyDescent="0.25">
      <c r="A55" s="6" t="s">
        <v>87</v>
      </c>
      <c r="B55">
        <v>1</v>
      </c>
    </row>
    <row r="56" spans="1:2" x14ac:dyDescent="0.25">
      <c r="A56" s="6" t="s">
        <v>89</v>
      </c>
      <c r="B56">
        <v>1</v>
      </c>
    </row>
    <row r="57" spans="1:2" x14ac:dyDescent="0.25">
      <c r="A57" s="6" t="s">
        <v>90</v>
      </c>
      <c r="B57">
        <v>2</v>
      </c>
    </row>
    <row r="58" spans="1:2" x14ac:dyDescent="0.25">
      <c r="A58" s="6" t="s">
        <v>113</v>
      </c>
      <c r="B58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CC46-3FE3-4718-83A3-9642E15740F2}">
  <dimension ref="A1:B33"/>
  <sheetViews>
    <sheetView topLeftCell="A4" workbookViewId="0">
      <selection activeCell="A3" sqref="A3"/>
    </sheetView>
  </sheetViews>
  <sheetFormatPr baseColWidth="10" defaultRowHeight="15" x14ac:dyDescent="0.25"/>
  <cols>
    <col min="1" max="1" width="66.85546875" bestFit="1" customWidth="1"/>
    <col min="2" max="2" width="20.140625" bestFit="1" customWidth="1"/>
  </cols>
  <sheetData>
    <row r="1" spans="1:2" x14ac:dyDescent="0.25">
      <c r="A1" s="5" t="s">
        <v>0</v>
      </c>
      <c r="B1" t="s">
        <v>115</v>
      </c>
    </row>
    <row r="3" spans="1:2" x14ac:dyDescent="0.25">
      <c r="A3" s="5" t="s">
        <v>112</v>
      </c>
      <c r="B3" t="s">
        <v>114</v>
      </c>
    </row>
    <row r="4" spans="1:2" x14ac:dyDescent="0.25">
      <c r="A4" s="6" t="s">
        <v>18</v>
      </c>
      <c r="B4">
        <v>1</v>
      </c>
    </row>
    <row r="5" spans="1:2" x14ac:dyDescent="0.25">
      <c r="A5" s="6" t="s">
        <v>19</v>
      </c>
      <c r="B5">
        <v>1</v>
      </c>
    </row>
    <row r="6" spans="1:2" x14ac:dyDescent="0.25">
      <c r="A6" s="6" t="s">
        <v>22</v>
      </c>
      <c r="B6">
        <v>2</v>
      </c>
    </row>
    <row r="7" spans="1:2" x14ac:dyDescent="0.25">
      <c r="A7" s="6" t="s">
        <v>26</v>
      </c>
      <c r="B7">
        <v>2</v>
      </c>
    </row>
    <row r="8" spans="1:2" x14ac:dyDescent="0.25">
      <c r="A8" s="6" t="s">
        <v>93</v>
      </c>
      <c r="B8">
        <v>1</v>
      </c>
    </row>
    <row r="9" spans="1:2" x14ac:dyDescent="0.25">
      <c r="A9" s="6" t="s">
        <v>36</v>
      </c>
      <c r="B9">
        <v>2</v>
      </c>
    </row>
    <row r="10" spans="1:2" x14ac:dyDescent="0.25">
      <c r="A10" s="6" t="s">
        <v>38</v>
      </c>
      <c r="B10">
        <v>1</v>
      </c>
    </row>
    <row r="11" spans="1:2" x14ac:dyDescent="0.25">
      <c r="A11" s="6" t="s">
        <v>95</v>
      </c>
      <c r="B11">
        <v>1</v>
      </c>
    </row>
    <row r="12" spans="1:2" x14ac:dyDescent="0.25">
      <c r="A12" s="6" t="s">
        <v>96</v>
      </c>
      <c r="B12">
        <v>1</v>
      </c>
    </row>
    <row r="13" spans="1:2" x14ac:dyDescent="0.25">
      <c r="A13" s="6" t="s">
        <v>48</v>
      </c>
      <c r="B13">
        <v>1</v>
      </c>
    </row>
    <row r="14" spans="1:2" x14ac:dyDescent="0.25">
      <c r="A14" s="6" t="s">
        <v>55</v>
      </c>
      <c r="B14">
        <v>1</v>
      </c>
    </row>
    <row r="15" spans="1:2" x14ac:dyDescent="0.25">
      <c r="A15" s="6" t="s">
        <v>97</v>
      </c>
      <c r="B15">
        <v>1</v>
      </c>
    </row>
    <row r="16" spans="1:2" x14ac:dyDescent="0.25">
      <c r="A16" s="6" t="s">
        <v>58</v>
      </c>
      <c r="B16">
        <v>3</v>
      </c>
    </row>
    <row r="17" spans="1:2" x14ac:dyDescent="0.25">
      <c r="A17" s="6" t="s">
        <v>110</v>
      </c>
      <c r="B17">
        <v>1</v>
      </c>
    </row>
    <row r="18" spans="1:2" x14ac:dyDescent="0.25">
      <c r="A18" s="6" t="s">
        <v>61</v>
      </c>
      <c r="B18">
        <v>2</v>
      </c>
    </row>
    <row r="19" spans="1:2" x14ac:dyDescent="0.25">
      <c r="A19" s="6" t="s">
        <v>64</v>
      </c>
      <c r="B19">
        <v>1</v>
      </c>
    </row>
    <row r="20" spans="1:2" x14ac:dyDescent="0.25">
      <c r="A20" s="6" t="s">
        <v>99</v>
      </c>
      <c r="B20">
        <v>1</v>
      </c>
    </row>
    <row r="21" spans="1:2" x14ac:dyDescent="0.25">
      <c r="A21" s="6" t="s">
        <v>100</v>
      </c>
      <c r="B21">
        <v>1</v>
      </c>
    </row>
    <row r="22" spans="1:2" x14ac:dyDescent="0.25">
      <c r="A22" s="6" t="s">
        <v>101</v>
      </c>
      <c r="B22">
        <v>1</v>
      </c>
    </row>
    <row r="23" spans="1:2" x14ac:dyDescent="0.25">
      <c r="A23" s="6" t="s">
        <v>69</v>
      </c>
      <c r="B23">
        <v>1</v>
      </c>
    </row>
    <row r="24" spans="1:2" x14ac:dyDescent="0.25">
      <c r="A24" s="6" t="s">
        <v>70</v>
      </c>
      <c r="B24">
        <v>2</v>
      </c>
    </row>
    <row r="25" spans="1:2" x14ac:dyDescent="0.25">
      <c r="A25" s="6" t="s">
        <v>72</v>
      </c>
      <c r="B25">
        <v>1</v>
      </c>
    </row>
    <row r="26" spans="1:2" x14ac:dyDescent="0.25">
      <c r="A26" s="6" t="s">
        <v>74</v>
      </c>
      <c r="B26">
        <v>1</v>
      </c>
    </row>
    <row r="27" spans="1:2" x14ac:dyDescent="0.25">
      <c r="A27" s="6" t="s">
        <v>111</v>
      </c>
      <c r="B27">
        <v>1</v>
      </c>
    </row>
    <row r="28" spans="1:2" x14ac:dyDescent="0.25">
      <c r="A28" s="6" t="s">
        <v>77</v>
      </c>
      <c r="B28">
        <v>1</v>
      </c>
    </row>
    <row r="29" spans="1:2" x14ac:dyDescent="0.25">
      <c r="A29" s="6" t="s">
        <v>81</v>
      </c>
      <c r="B29">
        <v>1</v>
      </c>
    </row>
    <row r="30" spans="1:2" x14ac:dyDescent="0.25">
      <c r="A30" s="6" t="s">
        <v>86</v>
      </c>
      <c r="B30">
        <v>1</v>
      </c>
    </row>
    <row r="31" spans="1:2" x14ac:dyDescent="0.25">
      <c r="A31" s="6" t="s">
        <v>91</v>
      </c>
      <c r="B31">
        <v>1</v>
      </c>
    </row>
    <row r="32" spans="1:2" x14ac:dyDescent="0.25">
      <c r="A32" s="6" t="s">
        <v>90</v>
      </c>
      <c r="B32">
        <v>1</v>
      </c>
    </row>
    <row r="33" spans="1:2" x14ac:dyDescent="0.25">
      <c r="A33" s="6" t="s">
        <v>113</v>
      </c>
      <c r="B3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Obs</vt:lpstr>
      <vt:lpstr>MPAS</vt:lpstr>
      <vt:lpstr>MPAS PRIOR no MME PIVOT</vt:lpstr>
      <vt:lpstr>MPAS POST no MME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Jou</dc:creator>
  <cp:lastModifiedBy>Marc Jou</cp:lastModifiedBy>
  <dcterms:created xsi:type="dcterms:W3CDTF">2025-12-19T11:48:53Z</dcterms:created>
  <dcterms:modified xsi:type="dcterms:W3CDTF">2025-12-19T19:19:38Z</dcterms:modified>
</cp:coreProperties>
</file>